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vmivsp.sharepoint.com/sites/AdvancedAnalytics/Shared Documents/Collateral/Insurance Verticals/Product and Underwriting/Product Insights GEN BI/"/>
    </mc:Choice>
  </mc:AlternateContent>
  <xr:revisionPtr revIDLastSave="2102" documentId="8_{F3260ABD-15C8-4021-814B-460A3FF83247}" xr6:coauthVersionLast="47" xr6:coauthVersionMax="47" xr10:uidLastSave="{E69A836C-B9C1-4053-9CEF-315AE956C860}"/>
  <bookViews>
    <workbookView xWindow="-110" yWindow="-110" windowWidth="19420" windowHeight="10300" activeTab="1" xr2:uid="{9274AD50-53A7-4CB9-9B85-D56845CCEF9F}"/>
  </bookViews>
  <sheets>
    <sheet name="TO-DO and Progress" sheetId="12" r:id="rId1"/>
    <sheet name="Data Model" sheetId="1" r:id="rId2"/>
    <sheet name="KPI's" sheetId="3" r:id="rId3"/>
    <sheet name="ongoing data changes" sheetId="13" r:id="rId4"/>
    <sheet name="Roles" sheetId="14" r:id="rId5"/>
    <sheet name="Industry Standards 2023" sheetId="11" r:id="rId6"/>
    <sheet name="Industry Standards 2024" sheetId="6" r:id="rId7"/>
    <sheet name="tablemap_for_industry_standards" sheetId="8" r:id="rId8"/>
    <sheet name="Industry Trends in 2024" sheetId="7" r:id="rId9"/>
    <sheet name="Carrier Split" sheetId="9" r:id="rId10"/>
    <sheet name="Tables" sheetId="4" r:id="rId11"/>
    <sheet name="Underwriting_Initial_Thoughts" sheetId="15" r:id="rId12"/>
    <sheet name="Typelist for Auto" sheetId="5" state="hidden" r:id="rId13"/>
  </sheets>
  <definedNames>
    <definedName name="_xlnm._FilterDatabase" localSheetId="1" hidden="1">'Data Model'!$A$1:$G$174</definedName>
    <definedName name="_xlnm._FilterDatabase" localSheetId="2" hidden="1">'KPI''s'!$A$1:$J$53</definedName>
    <definedName name="_xlnm._FilterDatabase" localSheetId="10" hidden="1">Tables!$A$1:$B$17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 i="15" l="1"/>
  <c r="AB26" i="15" l="1"/>
  <c r="AB25" i="15"/>
  <c r="Z26" i="15"/>
  <c r="Y26" i="15"/>
  <c r="X26" i="15"/>
  <c r="W26" i="15"/>
  <c r="Z27" i="15"/>
  <c r="Y27" i="15"/>
  <c r="X27" i="15"/>
  <c r="W27" i="15"/>
  <c r="Z25" i="15"/>
  <c r="Y25" i="15"/>
  <c r="X25" i="15"/>
  <c r="W25" i="15"/>
  <c r="Z31" i="15"/>
  <c r="Y31" i="15"/>
  <c r="X31" i="15"/>
  <c r="W31" i="15"/>
  <c r="S31" i="15"/>
  <c r="Z33" i="15" s="1"/>
  <c r="AF31" i="15" s="1"/>
  <c r="R31" i="15"/>
  <c r="Y33" i="15" s="1"/>
  <c r="AE31" i="15" s="1"/>
  <c r="Q31" i="15"/>
  <c r="X33" i="15" s="1"/>
  <c r="AD31" i="15" s="1"/>
  <c r="P31" i="15"/>
  <c r="W33" i="15" s="1"/>
  <c r="AC31" i="15" s="1"/>
  <c r="AF30" i="15"/>
  <c r="AE30" i="15"/>
  <c r="AD30" i="15"/>
  <c r="AC30" i="15"/>
  <c r="S30" i="15"/>
  <c r="R30" i="15"/>
  <c r="Q30" i="15"/>
  <c r="P30" i="15"/>
  <c r="M30" i="15"/>
  <c r="L30" i="15"/>
  <c r="K30" i="15"/>
  <c r="J30" i="15"/>
  <c r="AC29" i="15"/>
  <c r="Z29" i="15"/>
  <c r="Y29" i="15"/>
  <c r="X29" i="15"/>
  <c r="W29" i="15"/>
  <c r="W30" i="15" s="1"/>
  <c r="S29" i="15"/>
  <c r="R29" i="15"/>
  <c r="Q29" i="15"/>
  <c r="P29" i="15"/>
  <c r="Z24" i="15"/>
  <c r="Y24" i="15"/>
  <c r="X24" i="15"/>
  <c r="W24" i="15"/>
  <c r="AB24" i="15" s="1"/>
  <c r="Z23" i="15"/>
  <c r="Y23" i="15"/>
  <c r="X23" i="15"/>
  <c r="W23" i="15"/>
  <c r="AB23" i="15" s="1"/>
  <c r="Z22" i="15"/>
  <c r="Y22" i="15"/>
  <c r="X22" i="15"/>
  <c r="W22" i="15"/>
  <c r="AB22" i="15" s="1"/>
  <c r="AB17" i="15"/>
  <c r="Z12" i="15"/>
  <c r="AF11" i="15" s="1"/>
  <c r="Y12" i="15"/>
  <c r="X12" i="15"/>
  <c r="AD11" i="15" s="1"/>
  <c r="W12" i="15"/>
  <c r="S12" i="15"/>
  <c r="R12" i="15"/>
  <c r="Q12" i="15"/>
  <c r="P12" i="15"/>
  <c r="W14" i="15" s="1"/>
  <c r="AC12" i="15" s="1"/>
  <c r="AC11" i="15"/>
  <c r="S11" i="15"/>
  <c r="R11" i="15"/>
  <c r="Q11" i="15"/>
  <c r="P11" i="15"/>
  <c r="M11" i="15"/>
  <c r="L11" i="15"/>
  <c r="K11" i="15"/>
  <c r="J11" i="15"/>
  <c r="S10" i="15"/>
  <c r="R10" i="15"/>
  <c r="Q10" i="15"/>
  <c r="P10" i="15"/>
  <c r="A53" i="3"/>
  <c r="A52" i="3"/>
  <c r="A51" i="3"/>
  <c r="A50" i="3"/>
  <c r="A49" i="3"/>
  <c r="A48" i="3"/>
  <c r="A47" i="3"/>
  <c r="A46" i="3"/>
  <c r="A45" i="3"/>
  <c r="A44" i="3"/>
  <c r="A43" i="3"/>
  <c r="A42" i="3"/>
  <c r="A41" i="3"/>
  <c r="A40" i="3"/>
  <c r="A39" i="3"/>
  <c r="A38" i="3"/>
  <c r="A37" i="3"/>
  <c r="A36" i="3"/>
  <c r="A35" i="3"/>
  <c r="A5" i="9"/>
  <c r="A4" i="9"/>
  <c r="A3" i="9"/>
  <c r="A2" i="9"/>
  <c r="A5" i="7"/>
  <c r="A4" i="7"/>
  <c r="A3" i="7"/>
  <c r="A2" i="7"/>
  <c r="A34" i="3"/>
  <c r="A33" i="3"/>
  <c r="A32" i="3"/>
  <c r="A31" i="3"/>
  <c r="A30" i="3"/>
  <c r="A29" i="3"/>
  <c r="A4" i="3"/>
  <c r="A8" i="3"/>
  <c r="A16" i="3"/>
  <c r="A15" i="3"/>
  <c r="A7" i="3"/>
  <c r="A28" i="3"/>
  <c r="A27" i="3"/>
  <c r="A26" i="3"/>
  <c r="A25" i="3"/>
  <c r="A24" i="3"/>
  <c r="A23" i="3"/>
  <c r="A22" i="3"/>
  <c r="A21" i="3"/>
  <c r="A20" i="3"/>
  <c r="A19" i="3"/>
  <c r="A18" i="3"/>
  <c r="A17" i="3"/>
  <c r="A14" i="3"/>
  <c r="A13" i="3"/>
  <c r="A12" i="3"/>
  <c r="A11" i="3"/>
  <c r="A10" i="3"/>
  <c r="A9" i="3"/>
  <c r="A6" i="3"/>
  <c r="A5" i="3"/>
  <c r="A3" i="3"/>
  <c r="A2" i="3"/>
  <c r="Y30" i="15" l="1"/>
  <c r="W11" i="15"/>
  <c r="AC10" i="15"/>
  <c r="Z30" i="15"/>
  <c r="X30" i="15"/>
  <c r="Z14" i="15"/>
  <c r="AF12" i="15" s="1"/>
  <c r="AE11" i="15"/>
  <c r="X10" i="15"/>
  <c r="X14" i="15" s="1"/>
  <c r="AD12" i="15" s="1"/>
  <c r="Y10" i="15"/>
  <c r="Y14" i="15" s="1"/>
  <c r="AE12" i="15" s="1"/>
  <c r="Z10" i="15"/>
  <c r="AD29" i="15"/>
  <c r="AE29" i="15"/>
  <c r="AF29" i="15"/>
  <c r="Y11" i="15" l="1"/>
  <c r="AE10" i="15"/>
  <c r="AD10" i="15"/>
  <c r="X11" i="15"/>
  <c r="Z11" i="15"/>
  <c r="AF1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tc={9398F692-FC21-4111-99B9-A89333C749DC}</author>
  </authors>
  <commentList>
    <comment ref="C1" authorId="0" shapeId="0" xr:uid="{9398F692-FC21-4111-99B9-A89333C749DC}">
      <text>
        <t xml:space="preserve">[Threaded comment]
Your version of Excel allows you to read this threaded comment; however, any edits to it will get removed if the file is opened in a newer version of Excel. Learn more: https://go.microsoft.com/fwlink/?linkid=870924
Comment:
    Their insights drive underwriting profitability, pricing adequacy, and portfolio optimization </t>
      </text>
    </comment>
  </commentList>
</comments>
</file>

<file path=xl/sharedStrings.xml><?xml version="1.0" encoding="utf-8"?>
<sst xmlns="http://schemas.openxmlformats.org/spreadsheetml/2006/main" count="1849" uniqueCount="976">
  <si>
    <t>Date of addition</t>
  </si>
  <si>
    <t>Item</t>
  </si>
  <si>
    <t>Description</t>
  </si>
  <si>
    <t>status</t>
  </si>
  <si>
    <t>Comments</t>
  </si>
  <si>
    <t>Dependency</t>
  </si>
  <si>
    <t>Resources</t>
  </si>
  <si>
    <t>Data for 2023</t>
  </si>
  <si>
    <t>With real Policy stats of 2023</t>
  </si>
  <si>
    <t>Dev done</t>
  </si>
  <si>
    <t>Manasa at work</t>
  </si>
  <si>
    <t>Data for 2024 revised</t>
  </si>
  <si>
    <t>Revise 2024 data with improvements from 2023</t>
  </si>
  <si>
    <t>UI Change</t>
  </si>
  <si>
    <t>UI Change for display 5 and download all</t>
  </si>
  <si>
    <t>Anjali at work</t>
  </si>
  <si>
    <t>HK - Take stats from csv and generate data</t>
  </si>
  <si>
    <t>Modify data generation code - Take stats from csv and generate data</t>
  </si>
  <si>
    <t>House-keeping TODO</t>
  </si>
  <si>
    <t>HK - Make tables of interest by role</t>
  </si>
  <si>
    <t>dev done</t>
  </si>
  <si>
    <t>HK - take role - UI change</t>
  </si>
  <si>
    <t>House-keeping TODO, Manasa at work</t>
  </si>
  <si>
    <t>to be taken up second after SQL being able to handle roles.</t>
  </si>
  <si>
    <t>HK - implement role based SQL generation</t>
  </si>
  <si>
    <t>tailor to role. Examples added separately</t>
  </si>
  <si>
    <t>Data Changes - move Unerwirter expenses</t>
  </si>
  <si>
    <t>data schema link - https://dbdiagram.io/d/data_files_2023-24-6846b7639d13e984f7bf42d6</t>
  </si>
  <si>
    <t>Data Changes - policy number convention change</t>
  </si>
  <si>
    <t>Issue date remains same for renewed poicies from 2023 in 2024 data</t>
  </si>
  <si>
    <t>Freeze snapshot dates</t>
  </si>
  <si>
    <t>Manasa at work, no snapshot date in claims snapshot</t>
  </si>
  <si>
    <t>Agent table addition</t>
  </si>
  <si>
    <t>total 12 agents. per LOB we have personal lines have more - 4(2 telemarketing,1 digital,1 branch), commercial has less - 2 agents (1 digital and 1 telemarketing)</t>
  </si>
  <si>
    <t>in progress</t>
  </si>
  <si>
    <t>Submissions table addit</t>
  </si>
  <si>
    <t>all policies in policy table must be in submissions. applications records. Submission date &lt; policy Issue date/policy decline date. Quote date is between these.</t>
  </si>
  <si>
    <t>HK - Vocab dict should only have doable KPIs</t>
  </si>
  <si>
    <t>Added on 1st July. un highlighted in KPI's table.</t>
  </si>
  <si>
    <t>claims to follow year wise freq and avg amt trends</t>
  </si>
  <si>
    <t xml:space="preserve">Pulling meta data to recent Data </t>
  </si>
  <si>
    <t>Integrate existing Flow with data newly generated and test.</t>
  </si>
  <si>
    <t>On Data generation being done</t>
  </si>
  <si>
    <t>Make modifications to Data for KPIs</t>
  </si>
  <si>
    <t>Loss ratio, Expense ratio and combined ratios for 2023 and 2024</t>
  </si>
  <si>
    <t>Change Examples for Data schema changes</t>
  </si>
  <si>
    <t>Loss date from loss master, LOB from product</t>
  </si>
  <si>
    <t>add examples in role based files</t>
  </si>
  <si>
    <t>Role integration phase 2 - ROLE tailored examples</t>
  </si>
  <si>
    <t>HK - audit time</t>
  </si>
  <si>
    <t>generate logs of multiple instances and analyse what causes a lot of time</t>
  </si>
  <si>
    <t>n progress</t>
  </si>
  <si>
    <t>Feedback loop?</t>
  </si>
  <si>
    <t>Starter question change for role</t>
  </si>
  <si>
    <t>Add starter streams, work with Nilesh</t>
  </si>
  <si>
    <t>Refine Chart generation logic - it is hallucinating</t>
  </si>
  <si>
    <t>Manasa Added because of observation</t>
  </si>
  <si>
    <t>HK - Migrating to Databricks</t>
  </si>
  <si>
    <t>Kapil suggested</t>
  </si>
  <si>
    <t>Add Manual and filed premium</t>
  </si>
  <si>
    <t>Correct for renewal rate and new-business</t>
  </si>
  <si>
    <t>Typical new business and retention rates</t>
  </si>
  <si>
    <t>manasa at work</t>
  </si>
  <si>
    <t>Adding example queries for Underwriting persona</t>
  </si>
  <si>
    <t>Table Name</t>
  </si>
  <si>
    <t>Column Name</t>
  </si>
  <si>
    <t>Data Type</t>
  </si>
  <si>
    <t>Sample Values</t>
  </si>
  <si>
    <t>Change Log</t>
  </si>
  <si>
    <t>Policy</t>
  </si>
  <si>
    <t>Policy Id</t>
  </si>
  <si>
    <t>Integer</t>
  </si>
  <si>
    <t>Sequence Generator</t>
  </si>
  <si>
    <t>Policy Number</t>
  </si>
  <si>
    <t>Varchar</t>
  </si>
  <si>
    <t>Product ID</t>
  </si>
  <si>
    <t>Policy Issue State ID</t>
  </si>
  <si>
    <t>List of states in US</t>
  </si>
  <si>
    <t>Linked to Reference Table</t>
  </si>
  <si>
    <t>Policy Issue Date</t>
  </si>
  <si>
    <t>Datetime</t>
  </si>
  <si>
    <t>Date on which Policy was Issued</t>
  </si>
  <si>
    <t>Policy Effective Date</t>
  </si>
  <si>
    <t>Date from which Policy is Effective</t>
  </si>
  <si>
    <t>Policy Expiration Date</t>
  </si>
  <si>
    <t>Data on which Policy will expire</t>
  </si>
  <si>
    <t>Policy Cancellation Date</t>
  </si>
  <si>
    <t>Date on which Policy was Cancelled and will only be populated if the Policy status is cancelled</t>
  </si>
  <si>
    <t>Policy Status ID</t>
  </si>
  <si>
    <t>Status of the policy</t>
  </si>
  <si>
    <t>Active, Cancelled, Terminated, Pending Lapse, Lapse</t>
  </si>
  <si>
    <t>Policy Cancellation Reason Code</t>
  </si>
  <si>
    <t>Reason for Cancellation if Policy status is cancelled</t>
  </si>
  <si>
    <t>Previous Policy Number</t>
  </si>
  <si>
    <t>07/01/2025 - Added New</t>
  </si>
  <si>
    <t>Policy Snapshot</t>
  </si>
  <si>
    <t>Policy Snapshot ID</t>
  </si>
  <si>
    <t>Policy Snapshot Date</t>
  </si>
  <si>
    <t>needs to be only 2 values, 12/31/2023 for policies effective in 2023 and 12/31/2024 for policies effective in 2024</t>
  </si>
  <si>
    <t>Policy ID</t>
  </si>
  <si>
    <t>WrittenPremiumAmount</t>
  </si>
  <si>
    <t>Decimal</t>
  </si>
  <si>
    <t>Total Written Premium of the policy</t>
  </si>
  <si>
    <t>EarnedPremiumAmount</t>
  </si>
  <si>
    <t>Total Earned Premium of the policy</t>
  </si>
  <si>
    <t>UnEarnedPremiumAmount</t>
  </si>
  <si>
    <t>Reserve Amount</t>
  </si>
  <si>
    <t>Underwriting Expenses</t>
  </si>
  <si>
    <t>07/01/2025 - Moved from Simulated View to Policy Snapshot</t>
  </si>
  <si>
    <t>Manual Premium</t>
  </si>
  <si>
    <t>premium calculated strictly from the insurer’s rate manual, before discretionary credits or debits</t>
  </si>
  <si>
    <t>07/02/2025 - Added New</t>
  </si>
  <si>
    <t>Personal Auto - 100–103% of earned premium
Personal Homeowners - 100–104% of earned premium
Workers Compensation - 100–105% of earned premium
Commercial Auto - 100–105% of earned premium</t>
  </si>
  <si>
    <t>Filed Premium</t>
  </si>
  <si>
    <t>premium calculated using rates and rules filed (and typically approved) by state regulators. It often forms the basis for the manual premium, but may differ slightly due to state-mandated credits, surcharges, or company-specific adjustments allowed by regulation</t>
  </si>
  <si>
    <t>Personal Auto - 99–102% of Manual Premium
Personal Homeowners - 99–102% of manual premium
Workers Compensation - 98–105% of manual premium
Commercial Auto - 96–104% of manual premium</t>
  </si>
  <si>
    <t>Policy Party Role</t>
  </si>
  <si>
    <t>Policy Party Role Id</t>
  </si>
  <si>
    <t>Party ID</t>
  </si>
  <si>
    <t>Role ID</t>
  </si>
  <si>
    <t>Different roles associated with a policy</t>
  </si>
  <si>
    <t>Primary Insured, Policyholder, Dependent</t>
  </si>
  <si>
    <t>Role Effective Date</t>
  </si>
  <si>
    <t>Date from which thr Role associated to the policy was effective</t>
  </si>
  <si>
    <t>Role Expiration Date</t>
  </si>
  <si>
    <t>Date from which thr Role associated to the policy has expired</t>
  </si>
  <si>
    <t>Product</t>
  </si>
  <si>
    <t>Line of Business</t>
  </si>
  <si>
    <t>Personal, Commercial</t>
  </si>
  <si>
    <t>Product Code</t>
  </si>
  <si>
    <t>A001, A002</t>
  </si>
  <si>
    <t>Product Description</t>
  </si>
  <si>
    <t>Party</t>
  </si>
  <si>
    <t>Party Type ID</t>
  </si>
  <si>
    <t>Party Type</t>
  </si>
  <si>
    <t>Individual, Organization</t>
  </si>
  <si>
    <t>Party Unique ID</t>
  </si>
  <si>
    <t>Used to uniquely identify a party</t>
  </si>
  <si>
    <t>SSN, TIN, EIN, CRD, NPN etc</t>
  </si>
  <si>
    <t>First Name</t>
  </si>
  <si>
    <t>Middle Name</t>
  </si>
  <si>
    <t>Last Name</t>
  </si>
  <si>
    <t>Prefix</t>
  </si>
  <si>
    <t>Prefix+First Name+Middle Name+Last Name</t>
  </si>
  <si>
    <t>Full Name</t>
  </si>
  <si>
    <t>Maritial Status</t>
  </si>
  <si>
    <t>Gender</t>
  </si>
  <si>
    <t>Date of Birth</t>
  </si>
  <si>
    <t>Organization Name</t>
  </si>
  <si>
    <t>Only populated for party type organization</t>
  </si>
  <si>
    <t>First Policy Date</t>
  </si>
  <si>
    <t>Party Contact</t>
  </si>
  <si>
    <t>Party Contact ID</t>
  </si>
  <si>
    <t>Primary Phone Number</t>
  </si>
  <si>
    <t>Home Phone Number</t>
  </si>
  <si>
    <t>Office Phone Number</t>
  </si>
  <si>
    <t>Primary Email Address</t>
  </si>
  <si>
    <t>Office Email Address</t>
  </si>
  <si>
    <t>Party Address</t>
  </si>
  <si>
    <t>Party Address ID</t>
  </si>
  <si>
    <t>Address Type ID</t>
  </si>
  <si>
    <t>Type of Address</t>
  </si>
  <si>
    <t>Primary, Home, Office</t>
  </si>
  <si>
    <t>Address Line 1</t>
  </si>
  <si>
    <t>Address Line 2</t>
  </si>
  <si>
    <t>Address Line 3</t>
  </si>
  <si>
    <t>Address Line 4</t>
  </si>
  <si>
    <t>City</t>
  </si>
  <si>
    <t>State</t>
  </si>
  <si>
    <t>Country</t>
  </si>
  <si>
    <t>Zip Code</t>
  </si>
  <si>
    <t>Reference Table</t>
  </si>
  <si>
    <t>Reference ID</t>
  </si>
  <si>
    <t>Reference Code</t>
  </si>
  <si>
    <t>Reference Description</t>
  </si>
  <si>
    <t>Claim</t>
  </si>
  <si>
    <t>Claim ID</t>
  </si>
  <si>
    <t>Claim Number</t>
  </si>
  <si>
    <t>Claim Open Date</t>
  </si>
  <si>
    <t>Claim Close Date</t>
  </si>
  <si>
    <t>Claim Reopen Date</t>
  </si>
  <si>
    <t>Claim Reported Date</t>
  </si>
  <si>
    <t>Claim Status ID</t>
  </si>
  <si>
    <t>Fraud Flag</t>
  </si>
  <si>
    <t>Subrogation Flag</t>
  </si>
  <si>
    <t>Litigation Flag</t>
  </si>
  <si>
    <t>Subrogation Amount</t>
  </si>
  <si>
    <t>Catastropic Flag</t>
  </si>
  <si>
    <t>Claim Snapshot</t>
  </si>
  <si>
    <t>Claim Snapshot ID</t>
  </si>
  <si>
    <t>Claims Snapshot Date</t>
  </si>
  <si>
    <t>needs to be only 2 values, 12/31/2023 for loss dates in 2023 and 12/31/2024 for Loss dates in 2024</t>
  </si>
  <si>
    <t>Claim Amount</t>
  </si>
  <si>
    <t>Claim Paid amount</t>
  </si>
  <si>
    <t>Loss Adjustment Expenses</t>
  </si>
  <si>
    <t>07/01/2025 - Moved from Simulated View to Claims Snapshot</t>
  </si>
  <si>
    <t>Policy Payment</t>
  </si>
  <si>
    <t>Policy Payment ID</t>
  </si>
  <si>
    <t>Payment Date</t>
  </si>
  <si>
    <t>Payment Amount</t>
  </si>
  <si>
    <t>Payment Method</t>
  </si>
  <si>
    <t>Policy Billing</t>
  </si>
  <si>
    <t>Policy Billing ID</t>
  </si>
  <si>
    <t>Billing Frequency ID</t>
  </si>
  <si>
    <t>Billing Amount</t>
  </si>
  <si>
    <t>Due Date</t>
  </si>
  <si>
    <t>Next Bill Due Date</t>
  </si>
  <si>
    <t>Loss Master</t>
  </si>
  <si>
    <t>Loss Master ID</t>
  </si>
  <si>
    <t>Loss Date</t>
  </si>
  <si>
    <t>Loss Location Address Line 1</t>
  </si>
  <si>
    <t>Loss Location Address Line 2</t>
  </si>
  <si>
    <t>Loss Location Address Line 3</t>
  </si>
  <si>
    <t>Loss Location Address Line 4</t>
  </si>
  <si>
    <t>Loss Location City</t>
  </si>
  <si>
    <t>Loss Location State</t>
  </si>
  <si>
    <t>Loss Location Country</t>
  </si>
  <si>
    <t>Loss Location Zip Code</t>
  </si>
  <si>
    <t>Loss Description</t>
  </si>
  <si>
    <t>Failed to yield while turning left,
 hitting motorcycle</t>
  </si>
  <si>
    <t>Loss Cause</t>
  </si>
  <si>
    <t>Collision while turning</t>
  </si>
  <si>
    <t>Fault Rating</t>
  </si>
  <si>
    <t>Insured at fault</t>
  </si>
  <si>
    <t>Injury Severity</t>
  </si>
  <si>
    <t>Policy Coverage</t>
  </si>
  <si>
    <t>Policy Coverage ID</t>
  </si>
  <si>
    <t>Coverage Type ID</t>
  </si>
  <si>
    <t>Sum Insured</t>
  </si>
  <si>
    <t>Coverage Amount Limit</t>
  </si>
  <si>
    <t>Coverage Start Date</t>
  </si>
  <si>
    <t>Coverage End Date</t>
  </si>
  <si>
    <t>Deductible Amount</t>
  </si>
  <si>
    <t>Risk</t>
  </si>
  <si>
    <t>Risk ID</t>
  </si>
  <si>
    <t>Insured Object</t>
  </si>
  <si>
    <t>Risk Location</t>
  </si>
  <si>
    <t>Risk State</t>
  </si>
  <si>
    <t>Risk Zip Code</t>
  </si>
  <si>
    <t>Vehicle</t>
  </si>
  <si>
    <t>Vehcile ID</t>
  </si>
  <si>
    <t>Vehicle Age</t>
  </si>
  <si>
    <t>Number of years that have elapsed since the vehicle was manufactured or first sold</t>
  </si>
  <si>
    <t>Vehicle Body Type</t>
  </si>
  <si>
    <t>The shape and design of its Vehicle exterior</t>
  </si>
  <si>
    <t>Vehicle Brand</t>
  </si>
  <si>
    <t>The Brand of the Vehicle</t>
  </si>
  <si>
    <t>Vehicle Category</t>
  </si>
  <si>
    <t>The Category of the Vehicle</t>
  </si>
  <si>
    <t>Vehicle Color</t>
  </si>
  <si>
    <t>The Colour of the Vehicle</t>
  </si>
  <si>
    <t>Vehicle cubic capacity</t>
  </si>
  <si>
    <t>Measurement of the size of a Vehicle's engine</t>
  </si>
  <si>
    <t>Vehicle Model</t>
  </si>
  <si>
    <t>The Model of the Vehicle</t>
  </si>
  <si>
    <t>Vehicle Model Year</t>
  </si>
  <si>
    <t>The year the Vehicle model was made</t>
  </si>
  <si>
    <t>Vehicle Motor Group</t>
  </si>
  <si>
    <t xml:space="preserve">Refers to a classification system used in the auto insurance industry to categorize vehicles based on various factors such as their performance, safety features, repair costs, and overall risk associated with insuring them. </t>
  </si>
  <si>
    <t>Vehicle Registration Year</t>
  </si>
  <si>
    <t>The year the Vehicle was registered</t>
  </si>
  <si>
    <t>Claim Adjuster</t>
  </si>
  <si>
    <t>Claim Adjuster ID</t>
  </si>
  <si>
    <t>Claim Adjuster First Name</t>
  </si>
  <si>
    <t>Claim Adjuster Last Name</t>
  </si>
  <si>
    <t>Claim Adjuster Name</t>
  </si>
  <si>
    <t>Adjuster Group name</t>
  </si>
  <si>
    <t>Claims Autopilot</t>
  </si>
  <si>
    <t>Adjuster Regions</t>
  </si>
  <si>
    <t>Western Region</t>
  </si>
  <si>
    <t>Adjuster Experience Level</t>
  </si>
  <si>
    <t>High</t>
  </si>
  <si>
    <t>Employment Start Date</t>
  </si>
  <si>
    <t>Employment End Date</t>
  </si>
  <si>
    <t>NPS</t>
  </si>
  <si>
    <t>Customer Loyalty</t>
  </si>
  <si>
    <t>Agent</t>
  </si>
  <si>
    <t>Agent ID</t>
  </si>
  <si>
    <t>Agent Name</t>
  </si>
  <si>
    <t>Agent License Number</t>
  </si>
  <si>
    <t>Agency Name</t>
  </si>
  <si>
    <t>Channel</t>
  </si>
  <si>
    <t>Submission</t>
  </si>
  <si>
    <t>Submission ID</t>
  </si>
  <si>
    <t>Submission Date</t>
  </si>
  <si>
    <t>StatusID</t>
  </si>
  <si>
    <t>Submitted, Quoted, Bound, Declined</t>
  </si>
  <si>
    <t>Assignment Date</t>
  </si>
  <si>
    <t>Date on which an underwriter was assigned (incase of STP the STP date)</t>
  </si>
  <si>
    <t>First Contact</t>
  </si>
  <si>
    <t>Date on which the submitter was first contacted from provider side.</t>
  </si>
  <si>
    <t>Quote Date</t>
  </si>
  <si>
    <t>Date on which the quote was generated</t>
  </si>
  <si>
    <t>Declined Date</t>
  </si>
  <si>
    <t>Date on which the submission was declined</t>
  </si>
  <si>
    <t>Contacted</t>
  </si>
  <si>
    <t>Flag Y. N</t>
  </si>
  <si>
    <t>Y, N</t>
  </si>
  <si>
    <t>Overwritten Flag</t>
  </si>
  <si>
    <t>Flag Y. N (was the submission overridden with factors)</t>
  </si>
  <si>
    <t>Reclassification Flag</t>
  </si>
  <si>
    <t>Flag Y. N (Was the quote reclassified)</t>
  </si>
  <si>
    <t>Additional Info Requested</t>
  </si>
  <si>
    <t>Flag Y. N (Was any additional information requested for the candidate)</t>
  </si>
  <si>
    <t>07/16/2025 - Added New</t>
  </si>
  <si>
    <t>Quote Type</t>
  </si>
  <si>
    <t>Renewal / New</t>
  </si>
  <si>
    <t>07/13/2025 - Added New</t>
  </si>
  <si>
    <t>Agent Policy Detail</t>
  </si>
  <si>
    <t>Commission rate</t>
  </si>
  <si>
    <t>Commission Amount</t>
  </si>
  <si>
    <t>Snapshot Date</t>
  </si>
  <si>
    <t>S.No</t>
  </si>
  <si>
    <t>Subject Area</t>
  </si>
  <si>
    <t>Category</t>
  </si>
  <si>
    <t>Persona</t>
  </si>
  <si>
    <t>Can be showcased</t>
  </si>
  <si>
    <t>KPI/Measure Name</t>
  </si>
  <si>
    <t>Formula/Calculation Logic</t>
  </si>
  <si>
    <t>Profitability</t>
  </si>
  <si>
    <t>Loss Ratio</t>
  </si>
  <si>
    <t>Incurred Losses / Earned Premium</t>
  </si>
  <si>
    <t>Indicates profitability. A ratio &gt; 1.0 (or 100%) means losses exceed premiums; &lt; 1.0 means underwriting profit.</t>
  </si>
  <si>
    <t>Incurred Losses = Claim Paid Amount + Loss Adjustment Expenses</t>
  </si>
  <si>
    <t>Expense Ratio</t>
  </si>
  <si>
    <t>Underwriting Expenses / Earned Premium</t>
  </si>
  <si>
    <t>Measures operational efficiency. Lower is better.</t>
  </si>
  <si>
    <t>LAE Ratio</t>
  </si>
  <si>
    <t>LAE / Earned Premium</t>
  </si>
  <si>
    <t>Combined Ratio</t>
  </si>
  <si>
    <t>Loss Ratio + Expense Ratio</t>
  </si>
  <si>
    <t>&lt;100% means underwriting profit. &gt;100% means loss.</t>
  </si>
  <si>
    <t>Underwriting Profit Margin</t>
  </si>
  <si>
    <t>1 - Combined Ratio</t>
  </si>
  <si>
    <t>Indicates profit margin from underwriting activities.</t>
  </si>
  <si>
    <t>Customer Lifetime Value (CLV)</t>
  </si>
  <si>
    <t>Avg. Duration × Annual Premium × Profit Margin</t>
  </si>
  <si>
    <t>Estimates long-term customer value.</t>
  </si>
  <si>
    <t>(Average Earned Premium - Average Incurred Losses) * Average customer lifespan</t>
  </si>
  <si>
    <t>Underwriting Profit/Loss</t>
  </si>
  <si>
    <t>Earned Premiums−(Incurred Losses+Loss Adjustment Expenses)−Underwriting Expenses</t>
  </si>
  <si>
    <t>Premium Adequacy</t>
  </si>
  <si>
    <t>Earned Premium / Expected Losses</t>
  </si>
  <si>
    <t>&gt;1 indicates sufficient premium to cover losses.</t>
  </si>
  <si>
    <t>For Now leave this</t>
  </si>
  <si>
    <t>Growth</t>
  </si>
  <si>
    <t>Written Premium Growth Rate</t>
  </si>
  <si>
    <t>(Current - Prior Written Premium) / Prior Written Premium</t>
  </si>
  <si>
    <t>Indicates growth in business over time.</t>
  </si>
  <si>
    <t>New Business Ratio</t>
  </si>
  <si>
    <t>New Business Premium / Total Written Premium</t>
  </si>
  <si>
    <t>High ratio shows acquisition success.</t>
  </si>
  <si>
    <t>Quote-to-Bind Ratio</t>
  </si>
  <si>
    <t>Bound Policies / Quotes Given</t>
  </si>
  <si>
    <t>Indicates sales effectiveness.</t>
  </si>
  <si>
    <t>Hit Ratio</t>
  </si>
  <si>
    <t>Quoted Policies / Applications Received</t>
  </si>
  <si>
    <t>Gauges pricing and underwriting competitiveness.</t>
  </si>
  <si>
    <t>Retention</t>
  </si>
  <si>
    <t>Policy Retention Rate</t>
  </si>
  <si>
    <t>Renewed Policies / Renewable Policies</t>
  </si>
  <si>
    <t>Loyalty indicator. Low rate may indicate issues.</t>
  </si>
  <si>
    <t>Renewal Premium Average</t>
  </si>
  <si>
    <t>Total renewed premium (single payment in $) / Count of renewed policies</t>
  </si>
  <si>
    <t>The average renewal premium per renewed policy</t>
  </si>
  <si>
    <t>Customer Acquisition Cost (CAC)</t>
  </si>
  <si>
    <t>Marketing &amp; Sales Spend / New Customers</t>
  </si>
  <si>
    <t>Lower CAC with high CLV is ideal.</t>
  </si>
  <si>
    <t>Net Promoter Score (NPS)</t>
  </si>
  <si>
    <t>% Promoters - % Detractors</t>
  </si>
  <si>
    <t>Measures customer satisfaction and loyalty.</t>
  </si>
  <si>
    <t>Risk Exposure</t>
  </si>
  <si>
    <t>Average Premium per Policy</t>
  </si>
  <si>
    <t>Total Premium Written / Number of Policies</t>
  </si>
  <si>
    <t>Useful for comparing across segments.</t>
  </si>
  <si>
    <t>Average Sum Insured per Policy</t>
  </si>
  <si>
    <t>Total Sum Insured / Number of Policies</t>
  </si>
  <si>
    <t>Evaluates exposure quality.</t>
  </si>
  <si>
    <t>Exposure-to-Premium Ratio</t>
  </si>
  <si>
    <t>Sum Insured / Earned Premium</t>
  </si>
  <si>
    <t>Indicates coverage per premium dollar.</t>
  </si>
  <si>
    <t>Loss Cost per Exposure Unit</t>
  </si>
  <si>
    <t>Incurred Losses / Exposure Units</t>
  </si>
  <si>
    <t>Standardizes risk-adjusted performance.</t>
  </si>
  <si>
    <t>Operational</t>
  </si>
  <si>
    <t>Time to Quote / Bind / Issue</t>
  </si>
  <si>
    <t>Average time per stage</t>
  </si>
  <si>
    <t>Measures operational efficiency.</t>
  </si>
  <si>
    <t>Claim Frequency</t>
  </si>
  <si>
    <t>Number of Claims / Number of Policies</t>
  </si>
  <si>
    <t>Indicates risk intensity.</t>
  </si>
  <si>
    <t>Claim Severity</t>
  </si>
  <si>
    <t>Incurred Losses / Number of Claims</t>
  </si>
  <si>
    <t>Average cost per claim.</t>
  </si>
  <si>
    <t>Loss Development Factor (LDF)</t>
  </si>
  <si>
    <t>Ultimate Loss Estimate / Reported Losses</t>
  </si>
  <si>
    <t>Used in reserving and forecasting.</t>
  </si>
  <si>
    <t>Channel Mix</t>
  </si>
  <si>
    <t>Premium by Channel / Total Premium</t>
  </si>
  <si>
    <t>Shows distribution channel dependency.</t>
  </si>
  <si>
    <t>Product Mix</t>
  </si>
  <si>
    <t>Premium by Product Line / Total Premium</t>
  </si>
  <si>
    <t>Shows balance across product lines.</t>
  </si>
  <si>
    <t>Cross-sell Ratio</t>
  </si>
  <si>
    <t>Customers with &gt;1 Policy / Total Customers</t>
  </si>
  <si>
    <t>Indicates depth of customer relationship.</t>
  </si>
  <si>
    <t>Average time to settle a claim</t>
  </si>
  <si>
    <t>Total Number of Days taken to settle all claims (in each insurance claim category) / Total Claims</t>
  </si>
  <si>
    <t xml:space="preserve">The Average Time to Settle a Claim KPI measures how long it takes – on average – to settle insurance claims for each type of policy your organization offers.
Ex:
First-Party Insurance Claims : an insurance policy purchased by an individual directly froman insurance provider
Car Insurance Claims
Health Insurance Claims 
Homeowner Claims(all kinds of property claims)
Natural Disaster Claims
</t>
  </si>
  <si>
    <t>claim settlement ratio</t>
  </si>
  <si>
    <t>number of claims settled by the total number of claims received</t>
  </si>
  <si>
    <t xml:space="preserve">It's a key indicator of an insurer's reliability and efficiency in handling claims. </t>
  </si>
  <si>
    <t>Earned-to-Written Premium Ratio</t>
  </si>
  <si>
    <t>Earned Premium / Written Premium</t>
  </si>
  <si>
    <t>Helps assess how much of the premium has been “earned” (recognized for coverage provided).</t>
  </si>
  <si>
    <t>Avg Earned Premium per Policy</t>
  </si>
  <si>
    <t>Earned Premium / Number of Policies</t>
  </si>
  <si>
    <t>Measures product pricing at the unit level.</t>
  </si>
  <si>
    <t>Avg Written Premium per Policy</t>
  </si>
  <si>
    <t>Written Premium / Number of Policies</t>
  </si>
  <si>
    <t>Useful for new business &amp; rate adequacy trends.</t>
  </si>
  <si>
    <t>Pending Claims Ratio</t>
  </si>
  <si>
    <t>Open Claims / Total Reported Claims</t>
  </si>
  <si>
    <t>Measures reserve adequacy and claim management efficiency.</t>
  </si>
  <si>
    <t>Bind Rate</t>
  </si>
  <si>
    <t>Number of Policies Bound / Number of Quotes Issued</t>
  </si>
  <si>
    <t>Added on 07/01/2025</t>
  </si>
  <si>
    <t>Underwriting Margin</t>
  </si>
  <si>
    <t>(Earned Premium−(Incurred Losses + Underwriting Expenses))​ / Earned Premium</t>
  </si>
  <si>
    <t>Contact Rate</t>
  </si>
  <si>
    <t xml:space="preserve">Number of Target Prospects Contacted/Number of Submissions Received </t>
  </si>
  <si>
    <t>Quote Rate</t>
  </si>
  <si>
    <t>Number of Quotes Issued / Number of Submissions Received</t>
  </si>
  <si>
    <t>Underwriting Accuracy</t>
  </si>
  <si>
    <t>1 – (Number of Files with Error / Total Number of filed audited)</t>
  </si>
  <si>
    <t>Underwriting Cycle Time</t>
  </si>
  <si>
    <t>Average Time (in days/hours) from Submission Receipt to Policy Binding</t>
  </si>
  <si>
    <t>Claim Leakage Rate</t>
  </si>
  <si>
    <t>Claim Leakage in dollars / Total Dollar Amount of Claims Paid</t>
  </si>
  <si>
    <t>Claim Detection Rate (based on Underwriting Decisions)</t>
  </si>
  <si>
    <t>Number of Claims with Pre-Identified Underwriting Flags / Total Number of Claims Submitted</t>
  </si>
  <si>
    <t>Policy Renewal Rate</t>
  </si>
  <si>
    <t>Number of Policies Renewed / Number of Policies Available for Renewal</t>
  </si>
  <si>
    <t>Policy Rejection Rate</t>
  </si>
  <si>
    <t>Number of Submissions Declined or Rejected​ / Total Number of Submissions Received</t>
  </si>
  <si>
    <t>Leakage Ratio</t>
  </si>
  <si>
    <t>Leakage Detected in dollars / Earned Premium</t>
  </si>
  <si>
    <t>Manual Override Rate</t>
  </si>
  <si>
    <t>Quotes with overridden rating factors / Total Quotes Issued</t>
  </si>
  <si>
    <t>Mis-classification Incidence</t>
  </si>
  <si>
    <t>Submissions re-classified post-review​ / Total submissions</t>
  </si>
  <si>
    <t>Submission-to-Quote Cycle Time</t>
  </si>
  <si>
    <t>Average elapsed hours from submission receipt to first formal quote</t>
  </si>
  <si>
    <t>First-Touch SLA Compliance</t>
  </si>
  <si>
    <t>Submissions touched within SLA / Total submissions</t>
  </si>
  <si>
    <t xml:space="preserve">Rework </t>
  </si>
  <si>
    <t>Submissions sent back for additional info / Total submissions</t>
  </si>
  <si>
    <t>Triage to Underwriter Assignment Time</t>
  </si>
  <si>
    <t>The average time taken from submission receipt to its assignment to a specific, named underwriter for review</t>
  </si>
  <si>
    <t>Quote Turnaround Time (TAT) - by Complexity</t>
  </si>
  <si>
    <t>The average time taken from submission receipt to delivering a firm, bindable quote to the broker, segmented by risk complexity</t>
  </si>
  <si>
    <t>Broker "Status Check" Ratio</t>
  </si>
  <si>
    <t>Number of Status Inquiries / Number of Active Submissions</t>
  </si>
  <si>
    <t>Dimension</t>
  </si>
  <si>
    <t>2023 (baseline you already generated)</t>
  </si>
  <si>
    <t>2024 (dial these knobs up / down)</t>
  </si>
  <si>
    <t>Why it moved</t>
  </si>
  <si>
    <t>Average written / earned premium per policy</t>
  </si>
  <si>
    <t>Keep the midpoint of each LOB range</t>
  </si>
  <si>
    <t>↑ ~8–12 % across the board (Auto ≈ +12 %, Home ≈ +10 %, Commercial ≈ +8 %, WC modest ≈ +6 %)</t>
  </si>
  <si>
    <t>Widespread rate‑filing approvals for inflation &amp; catastrophe losses (spglobal.com)</t>
  </si>
  <si>
    <t>Policy count</t>
  </si>
  <si>
    <t>Your current ratios (50 % Auto, 30 % Home, 12 % WC, 8 % CA)</t>
  </si>
  <si>
    <r>
      <t xml:space="preserve">• </t>
    </r>
    <r>
      <rPr>
        <b/>
        <sz val="11"/>
        <color rgb="FF000000"/>
        <rFont val="Aptos Narrow"/>
        <family val="2"/>
      </rPr>
      <t>Auto / Home:</t>
    </r>
    <r>
      <rPr>
        <sz val="11"/>
        <color rgb="FF000000"/>
        <rFont val="Aptos Narrow"/>
        <family val="2"/>
      </rPr>
      <t xml:space="preserve"> +3 ‑ 5 % new‑business growth • </t>
    </r>
    <r>
      <rPr>
        <b/>
        <sz val="11"/>
        <color rgb="FF000000"/>
        <rFont val="Aptos Narrow"/>
        <family val="2"/>
      </rPr>
      <t>Workers Comp:</t>
    </r>
    <r>
      <rPr>
        <sz val="11"/>
        <color rgb="FF000000"/>
        <rFont val="Aptos Narrow"/>
        <family val="2"/>
      </rPr>
      <t xml:space="preserve"> flat to –1 % (employment plateau) • </t>
    </r>
    <r>
      <rPr>
        <b/>
        <sz val="11"/>
        <color rgb="FF000000"/>
        <rFont val="Aptos Narrow"/>
        <family val="2"/>
      </rPr>
      <t>Commercial Auto:</t>
    </r>
    <r>
      <rPr>
        <sz val="11"/>
        <color rgb="FF000000"/>
        <rFont val="Aptos Narrow"/>
        <family val="2"/>
      </rPr>
      <t xml:space="preserve"> +2 % (fleet expansions)</t>
    </r>
  </si>
  <si>
    <t>Reflects ISO &amp; NAMIC new‑business surveys</t>
  </si>
  <si>
    <t>Cancellation / non‑renewal rate</t>
  </si>
  <si>
    <t>~12 % overall</t>
  </si>
  <si>
    <t>↑ Home to ~15 % (withdrawals in high‑risk states) Flat elsewhere</t>
  </si>
  <si>
    <t>Insurers pruning catastrophe‑exposed books (simply-title.com)</t>
  </si>
  <si>
    <t>Billing frequency</t>
  </si>
  <si>
    <t>Mostly annual / quarterly</t>
  </si>
  <si>
    <r>
      <t xml:space="preserve">Shift 5‑7 % of Auto &amp; Home policies to </t>
    </r>
    <r>
      <rPr>
        <b/>
        <sz val="11"/>
        <color rgb="FF000000"/>
        <rFont val="Aptos Narrow"/>
        <family val="2"/>
      </rPr>
      <t>monthly</t>
    </r>
    <r>
      <rPr>
        <sz val="11"/>
        <color rgb="FF000000"/>
        <rFont val="Aptos Narrow"/>
        <family val="2"/>
      </rPr>
      <t xml:space="preserve"> (budget‑minded customers coping with higher rates)</t>
    </r>
  </si>
  <si>
    <t>Seen in consumer payment‑plan uptake reports</t>
  </si>
  <si>
    <t>Deductible choices</t>
  </si>
  <si>
    <t>Most fixed deductibles $500–$1 000</t>
  </si>
  <si>
    <t>Reduce &lt;$1 000 deductibles by ~50 %; grow $2 500–$5 000 band to 20 % of Home; allow percentage‑based wind/hail deductibles for 3 % of Home &amp; CA policies (rate.com)</t>
  </si>
  <si>
    <t> </t>
  </si>
  <si>
    <t>Litigation flag prevalence</t>
  </si>
  <si>
    <t>Leave at your current 2023 settings</t>
  </si>
  <si>
    <t>• Home: still &lt;1 % • Auto: 3 – 4 % (unchanged) • WC: 14 – 18 % (court backlog clears)</t>
  </si>
  <si>
    <t>Reflects CLM &amp; III litigation studies</t>
  </si>
  <si>
    <t>Effective‑ / expiration‑date mix</t>
  </si>
  <si>
    <t>All policies in 2024 right now</t>
  </si>
  <si>
    <r>
      <t>Change 85 % of policy records to have ISSUE / EFFECTIVE / EXPIRATION in 2023</t>
    </r>
    <r>
      <rPr>
        <sz val="11"/>
        <color rgb="FF000000"/>
        <rFont val="Aptos Narrow"/>
        <family val="2"/>
      </rPr>
      <t xml:space="preserve"> (you can simply push each of those three dates back by –365 days for eighty‑five percent of the rows). Keep the other 15 % in 2024 to show the renewal / growth story.</t>
    </r>
  </si>
  <si>
    <t>Gives you two separate full‑year blocks for analysis without disturbing ratios.</t>
  </si>
  <si>
    <t>Unearned premium at snapshot</t>
  </si>
  <si>
    <t>Based on mid‑year 2024 date</t>
  </si>
  <si>
    <r>
      <t xml:space="preserve">When you back‑date 2023 policies, set </t>
    </r>
    <r>
      <rPr>
        <sz val="10"/>
        <color rgb="FF000000"/>
        <rFont val="Arial Unicode MS"/>
      </rPr>
      <t>SnapshotDate</t>
    </r>
    <r>
      <rPr>
        <sz val="11"/>
        <color rgb="FF000000"/>
        <rFont val="Aptos Narrow"/>
        <family val="2"/>
      </rPr>
      <t xml:space="preserve"> ≈ 30 Jun 2023 so unearned = ~½ × written for annual pay plans.</t>
    </r>
  </si>
  <si>
    <r>
      <rPr>
        <b/>
        <sz val="14"/>
        <color rgb="FF000000"/>
        <rFont val="Aptos Narrow"/>
        <scheme val="minor"/>
      </rPr>
      <t xml:space="preserve">claims - </t>
    </r>
    <r>
      <rPr>
        <b/>
        <sz val="11"/>
        <color rgb="FF000000"/>
        <rFont val="Aptos Narrow"/>
        <scheme val="minor"/>
      </rPr>
      <t>Personal Auto</t>
    </r>
    <r>
      <rPr>
        <sz val="11"/>
        <color rgb="FF000000"/>
        <rFont val="Aptos Narrow"/>
        <scheme val="minor"/>
      </rPr>
      <t xml:space="preserve"> - Frequency ↓ slightly (fewer accidents) • Severity ↑ (parts &amp; labour inflation)
</t>
    </r>
    <r>
      <rPr>
        <b/>
        <sz val="11"/>
        <color rgb="FF000000"/>
        <rFont val="Aptos Narrow"/>
        <scheme val="minor"/>
      </rPr>
      <t>Homeowners</t>
    </r>
    <r>
      <rPr>
        <sz val="11"/>
        <color rgb="FF000000"/>
        <rFont val="Aptos Narrow"/>
        <scheme val="minor"/>
      </rPr>
      <t xml:space="preserve"> - Frequency ↑ (more convective‑storm &amp; secondary‑peril events) • Severity ↑ (construction‑inflation + reinsurance pressure)
</t>
    </r>
    <r>
      <rPr>
        <b/>
        <sz val="11"/>
        <color rgb="FF000000"/>
        <rFont val="Aptos Narrow"/>
        <scheme val="minor"/>
      </rPr>
      <t xml:space="preserve">Commercial Auto - </t>
    </r>
    <r>
      <rPr>
        <sz val="11"/>
        <color rgb="FF000000"/>
        <rFont val="Aptos Narrow"/>
        <scheme val="minor"/>
      </rPr>
      <t xml:space="preserve">Frequency ↑ (fleet miles up) • Severity ↑ (jury‑awards, medical inflation)
</t>
    </r>
    <r>
      <rPr>
        <b/>
        <sz val="11"/>
        <color rgb="FF000000"/>
        <rFont val="Aptos Narrow"/>
        <scheme val="minor"/>
      </rPr>
      <t xml:space="preserve">Workers Comp - </t>
    </r>
    <r>
      <rPr>
        <sz val="11"/>
        <color rgb="FF000000"/>
        <rFont val="Aptos Narrow"/>
        <scheme val="minor"/>
      </rPr>
      <t>Frequency ↘ (safety &amp; automation) • Severity ↑ modestly (indemnity wage trend)</t>
    </r>
  </si>
  <si>
    <r>
      <rPr>
        <b/>
        <sz val="11"/>
        <color rgb="FF000000"/>
        <rFont val="Aptos Narrow"/>
        <scheme val="minor"/>
      </rPr>
      <t>personal</t>
    </r>
    <r>
      <rPr>
        <sz val="11"/>
        <color rgb="FF000000"/>
        <rFont val="Aptos Narrow"/>
        <scheme val="minor"/>
      </rPr>
      <t xml:space="preserve"> </t>
    </r>
    <r>
      <rPr>
        <b/>
        <sz val="11"/>
        <color rgb="FF000000"/>
        <rFont val="Aptos Narrow"/>
        <scheme val="minor"/>
      </rPr>
      <t>Auto</t>
    </r>
    <r>
      <rPr>
        <sz val="11"/>
        <color rgb="FF000000"/>
        <rFont val="Aptos Narrow"/>
        <scheme val="minor"/>
      </rPr>
      <t xml:space="preserve"> - Continued mileage rebound but improved safety tech; repair‑cost inflation ~7‑10 %
</t>
    </r>
    <r>
      <rPr>
        <b/>
        <sz val="11"/>
        <color rgb="FF000000"/>
        <rFont val="Aptos Narrow"/>
        <scheme val="minor"/>
      </rPr>
      <t>Homeowners</t>
    </r>
    <r>
      <rPr>
        <sz val="11"/>
        <color rgb="FF000000"/>
        <rFont val="Aptos Narrow"/>
        <scheme val="minor"/>
      </rPr>
      <t xml:space="preserve"> - Above‑average catastrophe losses &amp; material‑cost inflation
</t>
    </r>
    <r>
      <rPr>
        <b/>
        <sz val="11"/>
        <color rgb="FF000000"/>
        <rFont val="Aptos Narrow"/>
        <scheme val="minor"/>
      </rPr>
      <t>commercial auto</t>
    </r>
    <r>
      <rPr>
        <sz val="11"/>
        <color rgb="FF000000"/>
        <rFont val="Aptos Narrow"/>
        <scheme val="minor"/>
      </rPr>
      <t xml:space="preserve"> - Social inflation &amp; nuclear‑verdict trend
</t>
    </r>
    <r>
      <rPr>
        <b/>
        <sz val="11"/>
        <color rgb="FF000000"/>
        <rFont val="Aptos Narrow"/>
        <scheme val="minor"/>
      </rPr>
      <t>Workers comp</t>
    </r>
    <r>
      <rPr>
        <sz val="11"/>
        <color rgb="FF000000"/>
        <rFont val="Aptos Narrow"/>
        <scheme val="minor"/>
      </rPr>
      <t xml:space="preserve"> - Long‑run comp frequency decline continues</t>
    </r>
  </si>
  <si>
    <t>Claims Role</t>
  </si>
  <si>
    <t>Core Tables Used*</t>
  </si>
  <si>
    <t>“Quick Check” – Simple Query</t>
  </si>
  <si>
    <t>Day‑to‑Day – Medium Query</t>
  </si>
  <si>
    <t>Deep‑Dive – Complex Query</t>
  </si>
  <si>
    <t>Typical KPIs / Metrics</t>
  </si>
  <si>
    <t>Front‑Line Claims Adjuster</t>
  </si>
  <si>
    <t>claims</t>
  </si>
  <si>
    <t>How many open claims do I own?</t>
  </si>
  <si>
    <t>Average settlement amount for my claims this month</t>
  </si>
  <si>
    <t>Severity mix by loss cause for CAT claims over $50 K</t>
  </si>
  <si>
    <t>• Cycle‑time to close</t>
  </si>
  <si>
    <t>SELECT COUNT(*) FROM claims WHERE ClaimAdjusterID=? AND ClaimStatusID = (SELECT CodeID FROM ref_code WHERE CodeType='ClaimStatus' AND Description='Open');</t>
  </si>
  <si>
    <t>SELECT AVG(cs.SettlementClaimAmount) FROM claims c JOIN claim_snapshot cs ON cs.ClaimID=c.ClaimID WHERE c.ClaimAdjusterID=? AND strftime('%Y-%m',c.LossDate)=strftime('%Y-%m','now');</t>
  </si>
  <si>
    <t>SELECT rcLoss.Description AS LossCause , rcSev.Description AS Severity , COUNT(*) AS Cnt , AVG(cs.ClaimAmount) AS AvgPaid FROM claims c JOIN loss_master lm ON lm.ClaimID=c.ClaimID JOIN claim_snapshot cs ON cs.ClaimID=c.ClaimID JOIN ref_code rcLoss ON rcLoss.CodeID=lm.LossCause JOIN ref_code rcSev ON rcSev.CodeID=lm.InjurySeverity WHERE c.CatastropicFlag=1 AND cs.ClaimAmount&gt;50000 GROUP BY 1,2 ORDER BY 3 DESC;</t>
  </si>
  <si>
    <t>• Avg. settlement</t>
  </si>
  <si>
    <t>claim_snapshot</t>
  </si>
  <si>
    <t>• Re‑open rate</t>
  </si>
  <si>
    <t>• Pending workload</t>
  </si>
  <si>
    <t>loss_master</t>
  </si>
  <si>
    <t>• Fraud / litigation hit‑rate</t>
  </si>
  <si>
    <t>policy</t>
  </si>
  <si>
    <t>party</t>
  </si>
  <si>
    <t>ref_code</t>
  </si>
  <si>
    <t>Underwriting / Product Analyst</t>
  </si>
  <si>
    <t>Count of active policies by LOB</t>
  </si>
  <si>
    <t>Earned vs. written premium trend (quarterly)</t>
  </si>
  <si>
    <t>Loss ratio vs. underwriting expense by product</t>
  </si>
  <si>
    <t>• Loss / expense / combined ratios</t>
  </si>
  <si>
    <t>SELECT rc.Description , COUNT(*) FROM policy p JOIN ref_code rc ON rc.CodeID=p.LOBCodeID AND rc.CodeType='LineOfBusiness' WHERE p.StatusCodeID = (SELECT CodeID FROM ref_code WHERE CodeType='PolicyStatus' AND Description='Active') GROUP BY 1;</t>
  </si>
  <si>
    <t>SELECT strftime('%Y-Q%q',SnapshotDate) AS Qtr , SUM(EarnedPremiumAmount) , SUM(WrittenPremiumAmount) FROM policy_snapshot GROUP BY 1 ORDER BY 1;</t>
  </si>
  <si>
    <t>SELECT pr.ProductDescription , ROUND(SUM(cs.SettlementClaimAmount+cs.LossAdjustmentExpenses)*1.0 / SUM(ps.EarnedPremiumAmount),3) AS LossRatio , ROUND(SUM(ps.UnderwritingExpenses)*1.0 / SUM(ps.EarnedPremiumAmount),3) AS UWExpenseRatio FROM policy p JOIN product pr ON pr.ProductID=p.ProductID JOIN policy_snapshot ps ON ps.PolicyID=p.PolicyID LEFT JOIN claims c ON c.PolicyID=p.PolicyID LEFT JOIN claim_snapshot cs ON cs.ClaimID=c.ClaimID GROUP BY 1 ORDER BY 2 DESC;</t>
  </si>
  <si>
    <t>• Written vs. earned premium growth</t>
  </si>
  <si>
    <t>policy_snapshot</t>
  </si>
  <si>
    <t>• Exposure mix (vehicle age, property sum‑insured, etc.)</t>
  </si>
  <si>
    <t>• Deductible uptake, coverage limits</t>
  </si>
  <si>
    <t>product</t>
  </si>
  <si>
    <t>policy_coverage</t>
  </si>
  <si>
    <t>risk</t>
  </si>
  <si>
    <t>vehicle</t>
  </si>
  <si>
    <t>Billing &amp; Finance Manager</t>
  </si>
  <si>
    <t>policy_payment</t>
  </si>
  <si>
    <t>Total premium collected today</t>
  </si>
  <si>
    <t>Installment delinquency rate by billing frequency</t>
  </si>
  <si>
    <t>Cash‑flow forecast: expected receipts next 60 days</t>
  </si>
  <si>
    <t>• Premium collected vs. billed</t>
  </si>
  <si>
    <t>SELECT SUM(PaymentAmount) FROM policy_payment WHERE date(PaymentDate)=date('now');</t>
  </si>
  <si>
    <t>SELECT rc.Description AS BillFreq , ROUND(SUM(CASE WHEN PaymentDate&gt;DueDate THEN 1 ELSE 0 END)*1.0/COUNT(*),3) AS DelinqRate FROM policy_billing pb JOIN ref_code rc ON rc.CodeID=pb.BillingFrequencyID AND rc.CodeType='BillingFrequency' LEFT JOIN policy_payment pp ON pp.PolicyID=pb.PolicyID GROUP BY 1;</t>
  </si>
  <si>
    <t>SELECT strftime('%Y-%m',DueDate) AS Month , SUM(BillingAmount) AS Expected FROM policy_billing WHERE DueDate BETWEEN date('now') AND date('now','+60 days') GROUP BY 1 ORDER BY 1;</t>
  </si>
  <si>
    <t>• Delinquency / lapse rate</t>
  </si>
  <si>
    <t>policy_billing</t>
  </si>
  <si>
    <t>• Unearned premium reserve</t>
  </si>
  <si>
    <t>• Cash‑flow forecast</t>
  </si>
  <si>
    <t>Risk‑Control / Loss‑Prevention Engineer</t>
  </si>
  <si>
    <t>Top 10 states by insured vehicle count</t>
  </si>
  <si>
    <t>Property risks with coverage &gt; $5 M and no prior losses</t>
  </si>
  <si>
    <t>Loss‑frequency heat‑map: vehicle category × driver state</t>
  </si>
  <si>
    <t>• claim frequency vs. exposure</t>
  </si>
  <si>
    <t>SELECT RiskState , COUNT(*) AS Vehicles FROM vehicle v JOIN policy p USING(PolicyID) GROUP BY 1 ORDER BY 2 DESC LIMIT 10;</t>
  </si>
  <si>
    <t>SELECT r.RiskID , p.PolicyNumber , pc.CoverageAmountLimit FROM risk r JOIN policy_coverage pc USING(PolicyID) JOIN policy p USING(PolicyID) WHERE pc.CoverageAmountLimit&gt;5000000 AND NOT EXISTS (SELECT 1 FROM loss_master lm JOIN claims c USING(ClaimID) WHERE c.PolicyID=p.PolicyID);</t>
  </si>
  <si>
    <t>SELECT rcVehCat.Description AS VehCat , LOWER(p.RiskLocationState) AS State , COUNT(DISTINCT c.ClaimID)*1.0 / COUNT(DISTINCT p.PolicyID) AS ClaimFreq FROM policy p JOIN vehicle v USING(PolicyID) JOIN ref_code rcVehCat ON rcVehCat.CodeID=v.VehicleCategory AND rcVehCat.CodeType='VehicleCategory' LEFT JOIN claims c USING(PolicyID) GROUP BY 1,2 HAVING COUNT(DISTINCT p.PolicyID)&gt;50 ORDER BY 3 DESC;</t>
  </si>
  <si>
    <t>• high‑severity loss locations</t>
  </si>
  <si>
    <t>• effectiveness of inspections / recommendations</t>
  </si>
  <si>
    <t>Claims Managers / Team Leads</t>
  </si>
  <si>
    <t>Count files still open vs. closed that were reported in the last 24 h.</t>
  </si>
  <si>
    <t>Measure mean calendar‑days from open to close for each adjuster on files closed this calendar‑year.</t>
  </si>
  <si>
    <t>For each line‑of‑business and calendar quarter, compute loss ratio (paid + LAE ÷ earned) to spot emerging deterioration.</t>
  </si>
  <si>
    <r>
      <t xml:space="preserve">• </t>
    </r>
    <r>
      <rPr>
        <b/>
        <sz val="11"/>
        <color theme="1"/>
        <rFont val="Aptos Narrow"/>
        <family val="2"/>
        <scheme val="minor"/>
      </rPr>
      <t>Loss ratio</t>
    </r>
    <r>
      <rPr>
        <sz val="11"/>
        <color theme="1"/>
        <rFont val="Aptos Narrow"/>
        <family val="2"/>
        <scheme val="minor"/>
      </rPr>
      <t xml:space="preserve"> &amp; </t>
    </r>
    <r>
      <rPr>
        <b/>
        <sz val="11"/>
        <color theme="1"/>
        <rFont val="Aptos Narrow"/>
        <family val="2"/>
        <scheme val="minor"/>
      </rPr>
      <t>LAE ratio</t>
    </r>
    <r>
      <rPr>
        <sz val="11"/>
        <color theme="1"/>
        <rFont val="Aptos Narrow"/>
        <family val="2"/>
        <scheme val="minor"/>
      </rPr>
      <t xml:space="preserve"> (overall / by LOB / by adjuster)</t>
    </r>
  </si>
  <si>
    <t>,</t>
  </si>
  <si>
    <t>SELECT LOWER(rc.description) AS claim_status , COUNT(*) AS cnt FROM claims c JOIN ref_code rc ON rc.codeid = c.claimstatusid AND rc.codetype = 'claimstatus' WHERE date(c.claimreporteddate) = date('now') GROUP BY 1;</t>
  </si>
  <si>
    <t>SELECT ca.claimadjustername , ROUND(AVG(julianday(c.claimclosedate) - julianday(c.claimopendate)),1) AS avg_days_to_close , COUNT(*) AS closed_files FROM claims c JOIN claim_adjuster ca USING(claimid) WHERE c.claimclosedate BETWEEN '2024-01-01' AND '2024-12-31' GROUP BY 1 HAVING closed_files &gt;= 10 ORDER BY avg_days_to_close;</t>
  </si>
  <si>
    <t>SELECT rc.description AS lob , strftime('%Y-Q%q', ps.snapshotdate) AS qtr , ROUND( (SUM(cs.settlementclaimamount + cs.lossadjustmentexpenses) * 1.0) / NULLIF(SUM(ps.earnedpremiumamount),0) ,3) AS loss_ratio FROM policy p JOIN ref_code rc ON rc.codeid = p.lobcodeid AND rc.codetype = 'lineofbusiness' JOIN policy_snapshot ps ON ps.policyid = p.policyid AND ps.snapshotdate BETWEEN '2023-01-01' AND '2024-12-31' LEFT JOIN claims c ON c.policyid = p.policyid AND c.lossdate BETWEEN '2023-01-01' AND '2024-12-31' LEFT JOIN claim_snapshot cs ON cs.claimid = c.claimid GROUP BY lob, qtr ORDER BY qtr , lob;</t>
  </si>
  <si>
    <r>
      <t xml:space="preserve">• </t>
    </r>
    <r>
      <rPr>
        <b/>
        <sz val="11"/>
        <color theme="1"/>
        <rFont val="Aptos Narrow"/>
        <family val="2"/>
        <scheme val="minor"/>
      </rPr>
      <t>Average cycle‑time</t>
    </r>
    <r>
      <rPr>
        <sz val="11"/>
        <color theme="1"/>
        <rFont val="Aptos Narrow"/>
        <family val="2"/>
        <scheme val="minor"/>
      </rPr>
      <t xml:space="preserve"> &amp; </t>
    </r>
    <r>
      <rPr>
        <b/>
        <sz val="11"/>
        <color theme="1"/>
        <rFont val="Aptos Narrow"/>
        <family val="2"/>
        <scheme val="minor"/>
      </rPr>
      <t>closure rate</t>
    </r>
  </si>
  <si>
    <r>
      <t xml:space="preserve">• </t>
    </r>
    <r>
      <rPr>
        <b/>
        <sz val="11"/>
        <color theme="1"/>
        <rFont val="Aptos Narrow"/>
        <family val="2"/>
        <scheme val="minor"/>
      </rPr>
      <t>Re‑open rate</t>
    </r>
    <r>
      <rPr>
        <sz val="11"/>
        <color theme="1"/>
        <rFont val="Aptos Narrow"/>
        <family val="2"/>
        <scheme val="minor"/>
      </rPr>
      <t xml:space="preserve"> and </t>
    </r>
    <r>
      <rPr>
        <b/>
        <sz val="11"/>
        <color theme="1"/>
        <rFont val="Aptos Narrow"/>
        <family val="2"/>
        <scheme val="minor"/>
      </rPr>
      <t>litigation rate</t>
    </r>
  </si>
  <si>
    <r>
      <t xml:space="preserve">• </t>
    </r>
    <r>
      <rPr>
        <b/>
        <sz val="11"/>
        <color theme="1"/>
        <rFont val="Aptos Narrow"/>
        <family val="2"/>
        <scheme val="minor"/>
      </rPr>
      <t>Severity distribution</t>
    </r>
    <r>
      <rPr>
        <sz val="11"/>
        <color theme="1"/>
        <rFont val="Aptos Narrow"/>
        <family val="2"/>
        <scheme val="minor"/>
      </rPr>
      <t xml:space="preserve"> (P50, P90, P99)</t>
    </r>
  </si>
  <si>
    <r>
      <t xml:space="preserve">• </t>
    </r>
    <r>
      <rPr>
        <b/>
        <sz val="11"/>
        <color theme="1"/>
        <rFont val="Aptos Narrow"/>
        <family val="2"/>
        <scheme val="minor"/>
      </rPr>
      <t>Pending inventory</t>
    </r>
    <r>
      <rPr>
        <sz val="11"/>
        <color theme="1"/>
        <rFont val="Aptos Narrow"/>
        <family val="2"/>
        <scheme val="minor"/>
      </rPr>
      <t xml:space="preserve"> age buckets</t>
    </r>
  </si>
  <si>
    <t>claim_adjuster</t>
  </si>
  <si>
    <t>KPI</t>
  </si>
  <si>
    <t>Personal Lines</t>
  </si>
  <si>
    <t>Commercial Lines</t>
  </si>
  <si>
    <t>Measures</t>
  </si>
  <si>
    <t>Personal Auto</t>
  </si>
  <si>
    <t>Homeowners</t>
  </si>
  <si>
    <t>Workers Comp</t>
  </si>
  <si>
    <t>Commercial Auto</t>
  </si>
  <si>
    <t>70%-72%</t>
  </si>
  <si>
    <t>Claim Paid Amount</t>
  </si>
  <si>
    <t>~$192–$200B</t>
  </si>
  <si>
    <t>~$110-$113B</t>
  </si>
  <si>
    <t>$30.8B</t>
  </si>
  <si>
    <t>$43.1B</t>
  </si>
  <si>
    <t>LAE Expenses</t>
  </si>
  <si>
    <t>7-9% of premium</t>
  </si>
  <si>
    <t>8–9% of premium</t>
  </si>
  <si>
    <t>6–8% of Earned premium</t>
  </si>
  <si>
    <t>7–9%% of Earned premium</t>
  </si>
  <si>
    <t>Earned Premium</t>
  </si>
  <si>
    <t xml:space="preserve">	$285–$315B</t>
  </si>
  <si>
    <t>~$160-173 B</t>
  </si>
  <si>
    <t>$44.3B</t>
  </si>
  <si>
    <t xml:space="preserve">~$62B </t>
  </si>
  <si>
    <t>Average Earned Premium per  policy</t>
  </si>
  <si>
    <t>$1,400–$1,600</t>
  </si>
  <si>
    <t>$1,500–$2,600</t>
  </si>
  <si>
    <t>~$8000</t>
  </si>
  <si>
    <t>~$7000</t>
  </si>
  <si>
    <t>Average Claim Paid Amount</t>
  </si>
  <si>
    <t>$900–$1,000</t>
  </si>
  <si>
    <t>$15,000–17,000</t>
  </si>
  <si>
    <t>$39,000–$43,000</t>
  </si>
  <si>
    <t>$14,000–$19,000</t>
  </si>
  <si>
    <t>Average Claims per policy</t>
  </si>
  <si>
    <t>14–15 claims per 100 policies per year</t>
  </si>
  <si>
    <t xml:space="preserve">6-7 claims per 100 policies </t>
  </si>
  <si>
    <t>70-75 per 100 policies</t>
  </si>
  <si>
    <t>18- 32 per 100 polcies</t>
  </si>
  <si>
    <t>31-33%</t>
  </si>
  <si>
    <t>27% (20%-30%)</t>
  </si>
  <si>
    <t>31–33% of Earned Premium</t>
  </si>
  <si>
    <t>36% of Earned Premium</t>
  </si>
  <si>
    <t>27% (23%-26%) of Earned Premium</t>
  </si>
  <si>
    <t>27% (20%-30%) of Earned Premium</t>
  </si>
  <si>
    <t>Gross Written Premium</t>
  </si>
  <si>
    <t xml:space="preserve">	$340-$350 billion</t>
  </si>
  <si>
    <t>$160-170 billion</t>
  </si>
  <si>
    <t>$53-$55B</t>
  </si>
  <si>
    <t>$68-71B</t>
  </si>
  <si>
    <t>per policy</t>
  </si>
  <si>
    <t>$1,600–$1,700</t>
  </si>
  <si>
    <t>~$9800-$10,000</t>
  </si>
  <si>
    <t>~$7,700 - $8000</t>
  </si>
  <si>
    <t>Net Written Premium</t>
  </si>
  <si>
    <t>$308–$315 billion</t>
  </si>
  <si>
    <t>$128–$130 billion</t>
  </si>
  <si>
    <t>$45B</t>
  </si>
  <si>
    <t>$60–$63B</t>
  </si>
  <si>
    <t>$1,700–$1,800</t>
  </si>
  <si>
    <t>~$8,000-$8400</t>
  </si>
  <si>
    <t>~$7,000-$7500</t>
  </si>
  <si>
    <t>$285–$315 billion</t>
  </si>
  <si>
    <t>~$160-$173 billion</t>
  </si>
  <si>
    <t>$44 B</t>
  </si>
  <si>
    <t>~$1,500 - $2,600</t>
  </si>
  <si>
    <t>~$8,000</t>
  </si>
  <si>
    <t>~$7,000</t>
  </si>
  <si>
    <t>Average customer lifespan</t>
  </si>
  <si>
    <t>3–4 years</t>
  </si>
  <si>
    <t>7–10 years</t>
  </si>
  <si>
    <t>5-7 years</t>
  </si>
  <si>
    <t>Number of Claims</t>
  </si>
  <si>
    <t>Collision: 4.54%
Bodily injury: 4.06%
Comprehensive: ~1.0%
Property damage: 3.9%</t>
  </si>
  <si>
    <t>~6%</t>
  </si>
  <si>
    <t>85-90 per 100 policies</t>
  </si>
  <si>
    <t>5–10 per 100 polcies</t>
  </si>
  <si>
    <t>Average cost per claim</t>
  </si>
  <si>
    <t>Collision: $4,000–$5,000
Property Damage: $3,800–$4,800
Bodily Injury: $25,000–$35,000
Comprehensive: $2,500–$3,500</t>
  </si>
  <si>
    <t>Property Damage: $13,500–$15,000
Fire / Lightening: $70,000–$85,000
Liability: $25,000–$28,000
Theft: $5,000-$6,000</t>
  </si>
  <si>
    <t>$46,000–$48,000</t>
  </si>
  <si>
    <t>78% (75% - 80%) ($18,000–$28,000)</t>
  </si>
  <si>
    <t>Average Settlement Time</t>
  </si>
  <si>
    <t>18.9 days
Simple claims: up to 30 days
Moderate injury claims: 3–6 months
Injury claims: 10.7 months (325 days)
Complex or litigated claims: 12–18+ months</t>
  </si>
  <si>
    <t>Claims cycle: 15-30 days (all),
Routine claims: up to 30 days
Complex: Several months</t>
  </si>
  <si>
    <t>Simple cases: upto 6 months
Moderate cases: 6–16 months
Complex cases: 18+ months to several years</t>
  </si>
  <si>
    <t>30-45 days</t>
  </si>
  <si>
    <t>Litigation rate</t>
  </si>
  <si>
    <t>~2–4% of all claims</t>
  </si>
  <si>
    <t>&lt;1% of all claims</t>
  </si>
  <si>
    <t>10–20% of disputed claims</t>
  </si>
  <si>
    <t>5–15% of large/severe claims</t>
  </si>
  <si>
    <t>94–97% (denial rate typically 3–6%)</t>
  </si>
  <si>
    <t>&gt;94% of all claims settled</t>
  </si>
  <si>
    <t xml:space="preserve">	&gt;89% of all claims settled</t>
  </si>
  <si>
    <t>Renewal Rate</t>
  </si>
  <si>
    <t>10%-15%</t>
  </si>
  <si>
    <t>9.82% (8%-12%)</t>
  </si>
  <si>
    <t>(11%-14%)</t>
  </si>
  <si>
    <t>2-4%</t>
  </si>
  <si>
    <t>8%-10%</t>
  </si>
  <si>
    <t>New Policies Issued</t>
  </si>
  <si>
    <t>2–3% (estimate)</t>
  </si>
  <si>
    <t>0–2% (estimate)</t>
  </si>
  <si>
    <t>1-2%</t>
  </si>
  <si>
    <t>2-3%</t>
  </si>
  <si>
    <t>64% (60% - 70%)</t>
  </si>
  <si>
    <t>65.2% (64–72%)</t>
  </si>
  <si>
    <t>50% (45%-50%)</t>
  </si>
  <si>
    <t>75.9% (70%-80%)</t>
  </si>
  <si>
    <t>~$192–$211B</t>
  </si>
  <si>
    <t>~$112.9B</t>
  </si>
  <si>
    <t>5–10% of premium</t>
  </si>
  <si>
    <t>5–8%% of premium</t>
  </si>
  <si>
    <t>5–8% of Earned premium</t>
  </si>
  <si>
    <t>5–8%% of Earned premium</t>
  </si>
  <si>
    <t>Provided there is a claim</t>
  </si>
  <si>
    <t xml:space="preserve">	$300–$330B</t>
  </si>
  <si>
    <t>~$220 B</t>
  </si>
  <si>
    <t>$46.3B</t>
  </si>
  <si>
    <t>~$65B ($64–67B)</t>
  </si>
  <si>
    <t>$1,500–$1,650</t>
  </si>
  <si>
    <t>$1,600–$2,800</t>
  </si>
  <si>
    <t>~$8,418 ($7800 - $8800)</t>
  </si>
  <si>
    <t>~$7,222 ($6500 - $7500)</t>
  </si>
  <si>
    <t>$960–$1,055</t>
  </si>
  <si>
    <t>$16,000–18,000</t>
  </si>
  <si>
    <t>$40,000–$45,000</t>
  </si>
  <si>
    <t>$15,000–$20,000</t>
  </si>
  <si>
    <t>13–14 claims per 100 policies per year</t>
  </si>
  <si>
    <t xml:space="preserve"> 5–6 claims per 100 policies </t>
  </si>
  <si>
    <t>65-70 per 100 policies</t>
  </si>
  <si>
    <t>15 - 30 per 100 polcies</t>
  </si>
  <si>
    <t>29–31%</t>
  </si>
  <si>
    <t>34.5% (32-37%)</t>
  </si>
  <si>
    <t>25% (23%-26%)</t>
  </si>
  <si>
    <t>25% (20%-30%)</t>
  </si>
  <si>
    <t>29–31% of Earned Premium</t>
  </si>
  <si>
    <t>34.5% (32-37%) of Earned Premium</t>
  </si>
  <si>
    <t>25% (23%-26%) of Earned Premium</t>
  </si>
  <si>
    <t>25% (20%-30%) of Earned Premium</t>
  </si>
  <si>
    <t>86% (80%-90%)</t>
  </si>
  <si>
    <t>107.1% (100%-110%)</t>
  </si>
  <si>
    <t xml:space="preserve">	$358.8 billion</t>
  </si>
  <si>
    <t>$169.6 billion</t>
  </si>
  <si>
    <t>$55.42B</t>
  </si>
  <si>
    <t>$70.94B</t>
  </si>
  <si>
    <t>$1,720–$1,795</t>
  </si>
  <si>
    <t xml:space="preserve">$1995 - </t>
  </si>
  <si>
    <t>~$10,076 ($9500 - $10500)</t>
  </si>
  <si>
    <t>~$7,882 ($7500 - $8500)</t>
  </si>
  <si>
    <t>$320–$340 billion</t>
  </si>
  <si>
    <t>$152–$161 billion</t>
  </si>
  <si>
    <t>$64–67B</t>
  </si>
  <si>
    <t>$1,788–$1,894</t>
  </si>
  <si>
    <t>$300–$330 billion</t>
  </si>
  <si>
    <t>~$173 billion</t>
  </si>
  <si>
    <t>~$2,035</t>
  </si>
  <si>
    <t>We already have Earned Premium, Claim Paid and LAE expense</t>
  </si>
  <si>
    <t>4–5 years</t>
  </si>
  <si>
    <t>8–12 years</t>
  </si>
  <si>
    <t>6-8 years</t>
  </si>
  <si>
    <t>Already have details for Earned Premium, Claim Paid, LAE Expense and Underwriting Expense</t>
  </si>
  <si>
    <t>Collision: 5.17%
Bodily injury: 1.0%
Comprehensive: ~2.8%
Property damage: 3.9%</t>
  </si>
  <si>
    <t>~5%</t>
  </si>
  <si>
    <t>Collision: $3,800–$4,800
Property Damage: $3,600–$4,600
Bodily Injury: $22,000–$33,000
Comprehensive: $2,000–$3,000</t>
  </si>
  <si>
    <t>Property Damage: $13,500–$14,000
Fire / Lightening: $70,000–$80,000
Liability: $25,000–$26,000
Theft: $5,000</t>
  </si>
  <si>
    <t>$46,000–$47,000</t>
  </si>
  <si>
    <t>18.9 days
Simple claims: up to 30 days
Moderate injury claims: 6–9 months
Injury claims: 10.7 months (325 days)
Complex or litigated claims: 12–18+ months</t>
  </si>
  <si>
    <t>Claims cycle: 23.9 days (all),
Routine claims: up to 30 days
Complex: Several months</t>
  </si>
  <si>
    <t>Simple cases: 6–12 months
Moderate cases: 12–18 months
Complex cases: 18+ months to several years</t>
  </si>
  <si>
    <t>22.3 days</t>
  </si>
  <si>
    <t>In Personal auto Louisiana and Florida have rates far above the national average</t>
  </si>
  <si>
    <t>95–98% (denial rate typically 2–5%)</t>
  </si>
  <si>
    <t>&gt;95% of all claims settled</t>
  </si>
  <si>
    <t xml:space="preserve">	&gt;90% of all claims settled</t>
  </si>
  <si>
    <t>WC - Premium growth turned negative in 2024 amid competitive pricing and reduced exposure</t>
  </si>
  <si>
    <t>13.65% (10%-15%)</t>
  </si>
  <si>
    <t>9.1% (8%-15%)</t>
  </si>
  <si>
    <t>12.2% (10%-15%)</t>
  </si>
  <si>
    <t>5–10% (estimate)</t>
  </si>
  <si>
    <t>2–5% (estimate)</t>
  </si>
  <si>
    <t>Negligible; renewal-driven line</t>
  </si>
  <si>
    <t>Target Changes / Description</t>
  </si>
  <si>
    <t>Tables to Modify</t>
  </si>
  <si>
    <t>Renewal Rate (10–15%)</t>
  </si>
  <si>
    <t>Simulate renewed vs non-renewed policies using coverage gaps, status codes, and cancellation reasons</t>
  </si>
  <si>
    <t>Increase</t>
  </si>
  <si>
    <t>TotalWrittenPremium</t>
  </si>
  <si>
    <t>annually by 10–15% (LOB-specific); trend up in 2024</t>
  </si>
  <si>
    <t>Insert more policies with</t>
  </si>
  <si>
    <t>IssueDate</t>
  </si>
  <si>
    <t>in 2024 and tag them to LOBs like Auto, Homeowners</t>
  </si>
  <si>
    <t>(Total Claims Paid + LAE) / Earned Premium</t>
  </si>
  <si>
    <t>Simulate realistic values per LOB (e.g., 64% Auto, 75.9% Commercial Auto)</t>
  </si>
  <si>
    <t>simulated_view</t>
  </si>
  <si>
    <t>Use</t>
  </si>
  <si>
    <t>SettlementClaimAmount</t>
  </si>
  <si>
    <t>(e.g., $192B for Auto); must aggregate across</t>
  </si>
  <si>
    <t>5–10% of</t>
  </si>
  <si>
    <t>EarnedPremium</t>
  </si>
  <si>
    <t>for most LOBs; simulate in</t>
  </si>
  <si>
    <t>Simulate this in billions by LOB, both per policy and in aggregate</t>
  </si>
  <si>
    <t>Auto: ~$1,600; Homeowners: ~$2,000–$2,800; WC: ~$8,400</t>
  </si>
  <si>
    <t>Avg Claim Paid Amount</t>
  </si>
  <si>
    <t>Auto: $1,000, Homeowners: ~$17,000, WC: $45,000</t>
  </si>
  <si>
    <t>Average Claims per 100 Policies</t>
  </si>
  <si>
    <t>High for WC (85–90), lower for Auto/Homeowners; derive using</t>
  </si>
  <si>
    <t>per</t>
  </si>
  <si>
    <t>Underwriting Expenses ÷ Earned Premium; e.g., 34.5% Homeowners</t>
  </si>
  <si>
    <t>Simulated directly in</t>
  </si>
  <si>
    <t>by LOB</t>
  </si>
  <si>
    <t>Sum of Loss Ratio and Expense Ratio; simulate above 100% for Commercial Auto</t>
  </si>
  <si>
    <t>Derived from</t>
  </si>
  <si>
    <t>Total</t>
  </si>
  <si>
    <t>summed for each LOB; simulate ~expected totals per LOB</t>
  </si>
  <si>
    <t>Slightly less than gross (e.g., 320B vs 358B Auto); optional if net-specific fields exist</t>
  </si>
  <si>
    <t>, or add new field if needed</t>
  </si>
  <si>
    <t>Lifetime = # of consecutive policy years; simulate multi-year policies by PartyID</t>
  </si>
  <si>
    <t>(per PartyID),</t>
  </si>
  <si>
    <t>Difference between premium and claims+expenses; simulate through</t>
  </si>
  <si>
    <t>Auto: Breakdown by type; WC: 85–90 per 100; simulate via</t>
  </si>
  <si>
    <t>per year</t>
  </si>
  <si>
    <t>Auto collision: ~$4,000; WC: ~$46,000; use in</t>
  </si>
  <si>
    <t>Auto: 18–30 days; WC: 6 months–2 years; simulate via</t>
  </si>
  <si>
    <t>ClaimOpenDate</t>
  </si>
  <si>
    <t>&amp;</t>
  </si>
  <si>
    <t>ClaimCloseDate</t>
  </si>
  <si>
    <t>Litigation Rate</t>
  </si>
  <si>
    <t>Simulate % of claims with</t>
  </si>
  <si>
    <t>LitigationFlag = True</t>
  </si>
  <si>
    <t>; higher for WC and Comm Auto</t>
  </si>
  <si>
    <t>Claim Settlement Ratio</t>
  </si>
  <si>
    <t>% of claims where</t>
  </si>
  <si>
    <t>&gt; 0; ~95–98% for most LOBs</t>
  </si>
  <si>
    <t>Sno</t>
  </si>
  <si>
    <t>Trends in 2024</t>
  </si>
  <si>
    <t>Auto insurance premiums continued to rise sharply in 2024, driven by inflation, rising vehicle repair costs, and increased claims severity
In some states (e.g., California), projected rate increases exceeded 50%, while others like New York saw more moderate hikes</t>
  </si>
  <si>
    <t>Homeowners insurance premiums surged, with the average annual premium reaching $3,303 in 2024—up 24% over the past three years
In some ZIP codes, premiums rose by more than 30%, outpacing inflation</t>
  </si>
  <si>
    <t>Workers’ comp maintained strong underwriting results, with a combined ratio of 86% in 2024—the 11th consecutive year of profitability
Premium volume declined by about 3% due to rate reductions and payroll adjustments</t>
  </si>
  <si>
    <t>Commercial auto premiums experienced some of the highest increases across all lines, with average rate hikes of 9–9.8% in early 2024
Insurers continued to face underwriting losses, with combined ratios above 100% for most of the past decade</t>
  </si>
  <si>
    <t>Consumer Behavior</t>
  </si>
  <si>
    <t>Policyholders are shopping and switching carriers more frequently to find better rates, leading to unpredictable customer retention and acquisition patterns
Usage-based insurance (UBI) and telematics adoption grew, offering discounts to safe drivers and improving claims efficiency</t>
  </si>
  <si>
    <t>Rising prices led to record shopping rates (6.8% in Q2 2024), but actual switching remained low due to limited alternatives
Customer satisfaction declined, especially among those receiving insurer-initiated rate increases</t>
  </si>
  <si>
    <t>Medical and wage inflation increased claim severity, with both medical and indemnity costs rising by 6%
Accident frequency, which had declined for decades, showed signs of reversal, with a 4.5% increase in nonfatal workplace injuries since 2021
Expansion of mental health coverage and presumptive legislation (e.g., PTSD for first responders) increased exposure for employers</t>
  </si>
  <si>
    <t>Rising repair costs, social inflation, nuclear verdicts, and distracted driving contributed to increased claim severity and frequency
Driver shortages and supply chain disruptions exacerbated operational challenges</t>
  </si>
  <si>
    <t>Market Volatility</t>
  </si>
  <si>
    <t>The market remained challenging, with insurers navigating underwriting losses and the need for rate adequacy
Nonstandard auto insurance saw some improvement but still faced profitability pressures</t>
  </si>
  <si>
    <t>Major carriers exited high-risk markets (e.g., Florida, California, Texas), forcing consumers to seek coverage through excess and surplus lines or government programs
The average number of available insurance quotes per person fell by 27% year-over-year
Increased frequency and severity of catastrophic events (hurricanes, wildfires, floods) drove up claims costs and reduced coverage options
Regulators and legislators are considering federal catastrophic reinsurance programs to stabilize the market</t>
  </si>
  <si>
    <t>Telemedicine became more prevalent, improving access to care and expediting claims processing
Ongoing integration of technology in claims management and workplace safety programs</t>
  </si>
  <si>
    <t>Insurers were more active in new business, and competition increased for well-performing accounts
Repair cycle times improved, but claims complexity and litigation remained key concerns</t>
  </si>
  <si>
    <t>Summary</t>
  </si>
  <si>
    <t>Rising premiums, increased shopping/switching, telematics adoption, market volatility</t>
  </si>
  <si>
    <t>Record premium hikes, reduced availability, climate change impact, regulatory action</t>
  </si>
  <si>
    <t>Continued profitability, rising claim severity, mental health coverage expansion, tech adoption</t>
  </si>
  <si>
    <t>High premium increases, underwriting losses, tech-driven risk management, litigation concerns</t>
  </si>
  <si>
    <t>Attribute</t>
  </si>
  <si>
    <t>Written Premium</t>
  </si>
  <si>
    <t>Total Claims Paid</t>
  </si>
  <si>
    <t>Policy Count</t>
  </si>
  <si>
    <t>Claims</t>
  </si>
  <si>
    <t>Policy Party Bridge</t>
  </si>
  <si>
    <t>Ref Table</t>
  </si>
  <si>
    <t>Calculated as</t>
  </si>
  <si>
    <t>Stage</t>
  </si>
  <si>
    <t>40–60%</t>
  </si>
  <si>
    <t>40–50%</t>
  </si>
  <si>
    <t>30–50%</t>
  </si>
  <si>
    <t>No of Records</t>
  </si>
  <si>
    <t>Bind Rate / Quote to Bind Rate</t>
  </si>
  <si>
    <t>20–30%</t>
  </si>
  <si>
    <t>10-20%</t>
  </si>
  <si>
    <t>Quote + Bound</t>
  </si>
  <si>
    <t>80-90 (Average of 85)</t>
  </si>
  <si>
    <t>75-90 (Average of 85)</t>
  </si>
  <si>
    <t>65-80 (Average of 73)</t>
  </si>
  <si>
    <t>Declined Rate</t>
  </si>
  <si>
    <t>Number of Submissions Declined​ / Total Number of Submissions Received</t>
  </si>
  <si>
    <t>15-25%</t>
  </si>
  <si>
    <t>&lt;5%</t>
  </si>
  <si>
    <t>Bound</t>
  </si>
  <si>
    <t>16-27 (average of 22)</t>
  </si>
  <si>
    <t>8 -18 (Average of 12)</t>
  </si>
  <si>
    <t>6-18 (Average of 11)</t>
  </si>
  <si>
    <t>1.6–4.7%</t>
  </si>
  <si>
    <t>Calculated also as 1 - combined ratio</t>
  </si>
  <si>
    <t>Declined</t>
  </si>
  <si>
    <t>10 - 20 (average of 15)</t>
  </si>
  <si>
    <t>10 - 25 (average of 15)</t>
  </si>
  <si>
    <t>20 - 35 (average of 27)</t>
  </si>
  <si>
    <t>&gt;90%</t>
  </si>
  <si>
    <t>Submissions</t>
  </si>
  <si>
    <t>Cycle Time</t>
  </si>
  <si>
    <t>Average number of days between Submission Date and Policy Issue Date</t>
  </si>
  <si>
    <t>1-3 Days with some complex cases being 7-10 days</t>
  </si>
  <si>
    <t>2–5 days (standard cases); up to 10–14 days (complex cases)</t>
  </si>
  <si>
    <t>3–7 days (standard cases); up to 14 days (complex/loss-sensitive accounts)</t>
  </si>
  <si>
    <t>5–10 days (standard accounts); up to 15+ days (complex/fleet risks)</t>
  </si>
  <si>
    <t>?? Can we consider Issue date from policy table
NP: Can consider Policy Issue Date for Issued Policies and/or Declined/Rejected date for Declined/Rejected Policies</t>
  </si>
  <si>
    <t>Rejection Rate</t>
  </si>
  <si>
    <t>Number of Submissions Rejected​ / Total Number of Submissions Received</t>
  </si>
  <si>
    <t>10–20%</t>
  </si>
  <si>
    <t>10–25%</t>
  </si>
  <si>
    <t>20–35%</t>
  </si>
  <si>
    <t>Personal Homeowners</t>
  </si>
  <si>
    <t>Workers Compensation</t>
  </si>
  <si>
    <t>Manual Override</t>
  </si>
  <si>
    <t>&lt;10%</t>
  </si>
  <si>
    <t>Misclassification</t>
  </si>
  <si>
    <t>1–5%</t>
  </si>
  <si>
    <t>Submitted</t>
  </si>
  <si>
    <t>Quote to Bind Rate</t>
  </si>
  <si>
    <t>Submission-to-Quote</t>
  </si>
  <si>
    <t>0–1 day</t>
  </si>
  <si>
    <t>1–3 days</t>
  </si>
  <si>
    <t>2–5 days</t>
  </si>
  <si>
    <t>Quote</t>
  </si>
  <si>
    <t>First-Touch SLA</t>
  </si>
  <si>
    <t>90–95%+</t>
  </si>
  <si>
    <t>Rework Rate</t>
  </si>
  <si>
    <t>5–10%</t>
  </si>
  <si>
    <t>Triage to Assignment</t>
  </si>
  <si>
    <t>0–5 hr</t>
  </si>
  <si>
    <t>1-2 days</t>
  </si>
  <si>
    <t>New Business %</t>
  </si>
  <si>
    <t>12-18%</t>
  </si>
  <si>
    <t>7-10%</t>
  </si>
  <si>
    <t>8-12%</t>
  </si>
  <si>
    <t>10-15%</t>
  </si>
  <si>
    <t>Retention Business %</t>
  </si>
  <si>
    <t>75-80%</t>
  </si>
  <si>
    <t>82-86%</t>
  </si>
  <si>
    <t>85-90%</t>
  </si>
  <si>
    <t>Actual</t>
  </si>
  <si>
    <t>Commission Rate</t>
  </si>
  <si>
    <t>10-20% (New Business)
5-10% (Renewed)</t>
  </si>
  <si>
    <t>15-20% (New Business)
10-15% (Renewed)</t>
  </si>
  <si>
    <t>5-10% (New Business)
5-10% (Renewed)</t>
  </si>
  <si>
    <t>10-15% (New Business)
5-10% (Renewed)</t>
  </si>
  <si>
    <t>Renewed from 2023</t>
  </si>
  <si>
    <t>Submission → Assign</t>
  </si>
  <si>
    <t>1–2 hours (often instant)</t>
  </si>
  <si>
    <t>4–12 hours</t>
  </si>
  <si>
    <t>4–24 hours</t>
  </si>
  <si>
    <t>New in 2024</t>
  </si>
  <si>
    <t>Assign → Contact</t>
  </si>
  <si>
    <t>1–4 hours (same day)</t>
  </si>
  <si>
    <t>1 day</t>
  </si>
  <si>
    <t>1–2 days</t>
  </si>
  <si>
    <t>Contact → Quote</t>
  </si>
  <si>
    <t>1–12 hours (often instant)</t>
  </si>
  <si>
    <t>2–24 hours</t>
  </si>
  <si>
    <t>Should be</t>
  </si>
  <si>
    <t>Quote → Issue</t>
  </si>
  <si>
    <t>1–24 hours</t>
  </si>
  <si>
    <t>Quote → Decline</t>
  </si>
  <si>
    <t>1–12 hours</t>
  </si>
  <si>
    <t>percentage renewed</t>
  </si>
  <si>
    <t>percent new_business</t>
  </si>
  <si>
    <t>Submission Declined</t>
  </si>
  <si>
    <t>A declined submission means the application has been fully reviewed by underwriting, but the insurer has decided not to offer coverage.</t>
  </si>
  <si>
    <t>percentage of policies in total</t>
  </si>
  <si>
    <t>Submission Rejected</t>
  </si>
  <si>
    <t>A submission rejection usually happens at the initial intake or triage stage, before underwriting fully reviews the application</t>
  </si>
  <si>
    <t>Fields</t>
  </si>
  <si>
    <t>Typelist</t>
  </si>
  <si>
    <t>Cause of Loss</t>
  </si>
  <si>
    <t>Animal</t>
  </si>
  <si>
    <t>Collision with bicycle</t>
  </si>
  <si>
    <t>Collision with fixed object</t>
  </si>
  <si>
    <t>Collision with motor vehicle</t>
  </si>
  <si>
    <t>Collision with other object</t>
  </si>
  <si>
    <t>Collision with parked vehicle</t>
  </si>
  <si>
    <t>Damage in loading or unloading</t>
  </si>
  <si>
    <t>Falling or moving object</t>
  </si>
  <si>
    <t>Fire</t>
  </si>
  <si>
    <t>Malicious mischief / vandalism</t>
  </si>
  <si>
    <t>Mechanical fault</t>
  </si>
  <si>
    <t>Parking collision</t>
  </si>
  <si>
    <t>Rear-end collision</t>
  </si>
  <si>
    <t>Riot and civil commotion</t>
  </si>
  <si>
    <t>Rollover</t>
  </si>
  <si>
    <t>Signal violation</t>
  </si>
  <si>
    <t>Theft</t>
  </si>
  <si>
    <t>Theft of entire vehicle</t>
  </si>
  <si>
    <t>Weather</t>
  </si>
  <si>
    <t>Fault Unknown</t>
  </si>
  <si>
    <t>Insured At fault</t>
  </si>
  <si>
    <t>Other party at fault</t>
  </si>
  <si>
    <t>Nofault</t>
  </si>
  <si>
    <t>Point of First Impact</t>
  </si>
  <si>
    <t>Point of First Contact</t>
  </si>
  <si>
    <t>Minor</t>
  </si>
  <si>
    <t>Moderate</t>
  </si>
  <si>
    <t>Major (Hospitilization)</t>
  </si>
  <si>
    <t>Life-Threatening</t>
  </si>
  <si>
    <t>Death</t>
  </si>
  <si>
    <t>Area(s) of Body Injured</t>
  </si>
  <si>
    <t>Areas Of Body Injured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</si>
</sst>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8">
    <font>
      <sz val="11"/>
      <color theme="1"/>
      <name val="Aptos Narrow"/>
      <family val="2"/>
      <scheme val="minor"/>
    </font>
    <font>
      <b/>
      <sz val="11"/>
      <color theme="0"/>
      <name val="Aptos Narrow"/>
      <family val="2"/>
      <scheme val="minor"/>
    </font>
    <font>
      <b/>
      <sz val="11"/>
      <color theme="1"/>
      <name val="Aptos Narrow"/>
      <family val="2"/>
      <scheme val="minor"/>
    </font>
    <font>
      <b/>
      <sz val="10"/>
      <color theme="0"/>
      <name val="Calibri"/>
      <family val="2"/>
    </font>
    <font>
      <sz val="10"/>
      <color theme="1"/>
      <name val="Calibri"/>
      <family val="2"/>
    </font>
    <font>
      <sz val="10"/>
      <color theme="1"/>
      <name val="Aptos Narrow"/>
      <family val="2"/>
      <scheme val="minor"/>
    </font>
    <font>
      <sz val="10"/>
      <color theme="1"/>
      <name val="Calibri"/>
    </font>
    <font>
      <b/>
      <sz val="10"/>
      <color theme="0"/>
      <name val="Calibri"/>
    </font>
    <font>
      <sz val="11"/>
      <color rgb="FF000000"/>
      <name val="Aptos Narrow"/>
      <charset val="1"/>
    </font>
    <font>
      <b/>
      <sz val="11"/>
      <color rgb="FF000000"/>
      <name val="Aptos Narrow"/>
      <family val="2"/>
    </font>
    <font>
      <sz val="11"/>
      <color rgb="FF000000"/>
      <name val="Aptos Narrow"/>
      <family val="2"/>
    </font>
    <font>
      <sz val="10"/>
      <color rgb="FF000000"/>
      <name val="Arial Unicode MS"/>
    </font>
    <font>
      <b/>
      <sz val="11"/>
      <color rgb="FF000000"/>
      <name val="Aptos Narrow"/>
    </font>
    <font>
      <sz val="11"/>
      <color rgb="FF000000"/>
      <name val="Aptos Narrow"/>
    </font>
    <font>
      <u/>
      <sz val="11"/>
      <color theme="10"/>
      <name val="Aptos Narrow"/>
      <family val="2"/>
      <scheme val="minor"/>
    </font>
    <font>
      <sz val="10"/>
      <color rgb="FF000000"/>
      <name val="Calibri"/>
      <family val="2"/>
    </font>
    <font>
      <b/>
      <sz val="14"/>
      <color rgb="FF000000"/>
      <name val="Aptos Narrow"/>
      <scheme val="minor"/>
    </font>
    <font>
      <b/>
      <sz val="11"/>
      <color rgb="FF000000"/>
      <name val="Aptos Narrow"/>
      <scheme val="minor"/>
    </font>
    <font>
      <sz val="11"/>
      <color rgb="FF000000"/>
      <name val="Aptos Narrow"/>
      <scheme val="minor"/>
    </font>
    <font>
      <b/>
      <sz val="14"/>
      <color rgb="FF000000"/>
      <name val="Aptos Narrow"/>
      <family val="2"/>
      <scheme val="minor"/>
    </font>
    <font>
      <sz val="11"/>
      <color rgb="FF000000"/>
      <name val="Aptos Narrow"/>
      <family val="2"/>
      <scheme val="minor"/>
    </font>
    <font>
      <sz val="11"/>
      <color rgb="FF242424"/>
      <name val="Aptos Narrow"/>
      <charset val="1"/>
    </font>
    <font>
      <sz val="11"/>
      <color rgb="FF242424"/>
      <name val="Aptos Narrow"/>
      <family val="2"/>
    </font>
    <font>
      <sz val="11"/>
      <color theme="1"/>
      <name val="Aptos Narrow"/>
      <family val="2"/>
      <scheme val="minor"/>
    </font>
    <font>
      <sz val="10"/>
      <color theme="1"/>
      <name val="Segoe UI"/>
      <family val="2"/>
    </font>
    <font>
      <b/>
      <sz val="10"/>
      <color theme="1"/>
      <name val="Aptos Narrow"/>
      <family val="2"/>
      <scheme val="minor"/>
    </font>
    <font>
      <b/>
      <sz val="10"/>
      <color theme="1"/>
      <name val="Segoe UI"/>
      <family val="2"/>
    </font>
    <font>
      <b/>
      <sz val="10"/>
      <color theme="1"/>
      <name val="Segoe UI"/>
    </font>
  </fonts>
  <fills count="16">
    <fill>
      <patternFill patternType="none"/>
    </fill>
    <fill>
      <patternFill patternType="gray125"/>
    </fill>
    <fill>
      <patternFill patternType="solid">
        <fgColor rgb="FF5B9BD5"/>
        <bgColor indexed="64"/>
      </patternFill>
    </fill>
    <fill>
      <patternFill patternType="solid">
        <fgColor theme="4"/>
        <bgColor indexed="64"/>
      </patternFill>
    </fill>
    <fill>
      <patternFill patternType="solid">
        <fgColor rgb="FFFFFF00"/>
        <bgColor indexed="64"/>
      </patternFill>
    </fill>
    <fill>
      <patternFill patternType="solid">
        <fgColor theme="9"/>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C1F0C8"/>
        <bgColor rgb="FF000000"/>
      </patternFill>
    </fill>
    <fill>
      <patternFill patternType="solid">
        <fgColor rgb="FF94DCF8"/>
        <bgColor rgb="FF000000"/>
      </patternFill>
    </fill>
    <fill>
      <patternFill patternType="solid">
        <fgColor rgb="FF4EA72E"/>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3">
    <xf numFmtId="0" fontId="0" fillId="0" borderId="0"/>
    <xf numFmtId="0" fontId="14" fillId="0" borderId="0" applyNumberFormat="0" applyFill="0" applyBorder="0" applyAlignment="0" applyProtection="0"/>
    <xf numFmtId="9" fontId="23" fillId="0" borderId="0" applyFont="0" applyFill="0" applyBorder="0" applyAlignment="0" applyProtection="0"/>
  </cellStyleXfs>
  <cellXfs count="126">
    <xf numFmtId="0" fontId="0" fillId="0" borderId="0" xfId="0"/>
    <xf numFmtId="0" fontId="4" fillId="0" borderId="0" xfId="0" applyFont="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0" xfId="0" applyFont="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0" xfId="0" applyFont="1" applyAlignment="1">
      <alignment horizontal="left" vertical="center"/>
    </xf>
    <xf numFmtId="0" fontId="0" fillId="0" borderId="1" xfId="0" applyBorder="1"/>
    <xf numFmtId="0" fontId="1" fillId="3" borderId="1" xfId="0" applyFont="1" applyFill="1" applyBorder="1"/>
    <xf numFmtId="0" fontId="4" fillId="0" borderId="0" xfId="0" applyFont="1" applyAlignment="1">
      <alignment vertical="center"/>
    </xf>
    <xf numFmtId="0" fontId="4"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4" fillId="0" borderId="0" xfId="0" applyFont="1" applyAlignment="1">
      <alignment vertical="center" wrapText="1"/>
    </xf>
    <xf numFmtId="0" fontId="3" fillId="5"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6" borderId="1" xfId="0" applyFont="1" applyFill="1" applyBorder="1" applyAlignment="1">
      <alignment vertical="center"/>
    </xf>
    <xf numFmtId="0" fontId="4" fillId="6" borderId="1" xfId="0" applyFont="1" applyFill="1" applyBorder="1" applyAlignment="1">
      <alignment vertical="center" wrapText="1"/>
    </xf>
    <xf numFmtId="0" fontId="4" fillId="6" borderId="0" xfId="0" applyFont="1" applyFill="1" applyAlignment="1">
      <alignment vertical="center"/>
    </xf>
    <xf numFmtId="9" fontId="4" fillId="0" borderId="1" xfId="0" applyNumberFormat="1" applyFont="1" applyBorder="1" applyAlignment="1">
      <alignment vertical="center" wrapText="1"/>
    </xf>
    <xf numFmtId="10" fontId="4" fillId="0" borderId="1" xfId="0" applyNumberFormat="1" applyFont="1" applyBorder="1" applyAlignment="1">
      <alignment vertical="center" wrapText="1"/>
    </xf>
    <xf numFmtId="6" fontId="4" fillId="0" borderId="1" xfId="0" applyNumberFormat="1" applyFont="1" applyBorder="1" applyAlignment="1">
      <alignment vertical="center" wrapText="1"/>
    </xf>
    <xf numFmtId="0" fontId="5" fillId="0" borderId="0" xfId="0" applyFont="1"/>
    <xf numFmtId="0" fontId="5" fillId="0" borderId="0" xfId="0" applyFont="1" applyAlignment="1">
      <alignment wrapText="1"/>
    </xf>
    <xf numFmtId="0" fontId="2" fillId="0" borderId="0" xfId="0" applyFont="1"/>
    <xf numFmtId="9" fontId="0" fillId="0" borderId="1" xfId="0" applyNumberFormat="1" applyBorder="1"/>
    <xf numFmtId="0" fontId="6" fillId="0" borderId="0" xfId="0" applyFont="1" applyAlignment="1">
      <alignment vertical="center"/>
    </xf>
    <xf numFmtId="0" fontId="6" fillId="6" borderId="0" xfId="0" applyFont="1" applyFill="1"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0" fontId="7" fillId="5"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9" fontId="6" fillId="0" borderId="1" xfId="0" applyNumberFormat="1" applyFont="1" applyBorder="1" applyAlignment="1">
      <alignment vertical="center" wrapText="1"/>
    </xf>
    <xf numFmtId="10" fontId="6" fillId="0" borderId="1" xfId="0" applyNumberFormat="1" applyFont="1" applyBorder="1" applyAlignment="1">
      <alignment vertical="center" wrapText="1"/>
    </xf>
    <xf numFmtId="6" fontId="6" fillId="0" borderId="1" xfId="0" applyNumberFormat="1" applyFont="1" applyBorder="1" applyAlignment="1">
      <alignment vertical="center" wrapText="1"/>
    </xf>
    <xf numFmtId="0" fontId="6" fillId="0" borderId="1" xfId="0" applyFont="1" applyBorder="1" applyAlignment="1">
      <alignment horizontal="left" vertical="center" wrapText="1"/>
    </xf>
    <xf numFmtId="0" fontId="6" fillId="6" borderId="1" xfId="0" applyFont="1" applyFill="1" applyBorder="1" applyAlignment="1">
      <alignment vertical="center"/>
    </xf>
    <xf numFmtId="0" fontId="6" fillId="6" borderId="1" xfId="0" applyFont="1" applyFill="1" applyBorder="1" applyAlignment="1">
      <alignment vertical="center" wrapText="1"/>
    </xf>
    <xf numFmtId="0" fontId="6" fillId="7" borderId="1" xfId="0" applyFont="1" applyFill="1" applyBorder="1" applyAlignment="1">
      <alignment vertical="center"/>
    </xf>
    <xf numFmtId="0" fontId="6" fillId="7" borderId="1" xfId="0" applyFont="1" applyFill="1" applyBorder="1" applyAlignment="1">
      <alignment vertical="center" wrapText="1"/>
    </xf>
    <xf numFmtId="10" fontId="6" fillId="0" borderId="1" xfId="0" applyNumberFormat="1" applyFont="1" applyBorder="1" applyAlignment="1">
      <alignment vertical="center"/>
    </xf>
    <xf numFmtId="10" fontId="6" fillId="7" borderId="1" xfId="0" applyNumberFormat="1" applyFont="1" applyFill="1" applyBorder="1" applyAlignment="1">
      <alignment vertical="center" wrapText="1"/>
    </xf>
    <xf numFmtId="14" fontId="0" fillId="0" borderId="1" xfId="0" applyNumberFormat="1" applyBorder="1"/>
    <xf numFmtId="0" fontId="8" fillId="0" borderId="1" xfId="0" applyFont="1" applyBorder="1"/>
    <xf numFmtId="0" fontId="4" fillId="8" borderId="1" xfId="0" applyFont="1" applyFill="1" applyBorder="1" applyAlignment="1">
      <alignment horizontal="left" vertical="center" wrapText="1"/>
    </xf>
    <xf numFmtId="0" fontId="4" fillId="8" borderId="1" xfId="0" applyFont="1" applyFill="1" applyBorder="1" applyAlignment="1">
      <alignment horizontal="left" vertical="center"/>
    </xf>
    <xf numFmtId="0" fontId="4" fillId="8" borderId="0" xfId="0" applyFont="1" applyFill="1" applyAlignment="1">
      <alignment horizontal="left" vertical="center"/>
    </xf>
    <xf numFmtId="0" fontId="4"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4" fillId="9" borderId="0" xfId="0" applyFont="1" applyFill="1" applyAlignment="1">
      <alignment horizontal="center" vertical="center"/>
    </xf>
    <xf numFmtId="0" fontId="4" fillId="4" borderId="0" xfId="0" applyFont="1" applyFill="1" applyAlignment="1">
      <alignment horizontal="center" vertical="center"/>
    </xf>
    <xf numFmtId="14" fontId="0" fillId="6" borderId="1" xfId="0" applyNumberFormat="1" applyFill="1" applyBorder="1"/>
    <xf numFmtId="0" fontId="0" fillId="6" borderId="1" xfId="0" applyFill="1" applyBorder="1"/>
    <xf numFmtId="0" fontId="0" fillId="6" borderId="0" xfId="0" applyFill="1"/>
    <xf numFmtId="0" fontId="8" fillId="6" borderId="1" xfId="0" applyFont="1" applyFill="1" applyBorder="1"/>
    <xf numFmtId="0" fontId="12" fillId="0" borderId="0" xfId="0" applyFont="1" applyAlignment="1">
      <alignment wrapText="1"/>
    </xf>
    <xf numFmtId="0" fontId="12" fillId="10" borderId="0" xfId="0" applyFont="1" applyFill="1" applyAlignment="1">
      <alignment wrapText="1"/>
    </xf>
    <xf numFmtId="0" fontId="13" fillId="10" borderId="0" xfId="0" applyFont="1" applyFill="1" applyAlignment="1">
      <alignment wrapText="1"/>
    </xf>
    <xf numFmtId="0" fontId="14" fillId="10" borderId="0" xfId="1" applyFill="1" applyAlignment="1">
      <alignment wrapText="1"/>
    </xf>
    <xf numFmtId="0" fontId="12" fillId="11" borderId="0" xfId="0" applyFont="1" applyFill="1" applyAlignment="1">
      <alignment wrapText="1"/>
    </xf>
    <xf numFmtId="0" fontId="13" fillId="11" borderId="0" xfId="0" applyFont="1" applyFill="1" applyAlignment="1">
      <alignment wrapText="1"/>
    </xf>
    <xf numFmtId="0" fontId="14" fillId="11" borderId="0" xfId="1" applyFill="1" applyAlignment="1">
      <alignment wrapText="1"/>
    </xf>
    <xf numFmtId="0" fontId="13" fillId="0" borderId="0" xfId="0" applyFont="1" applyAlignment="1">
      <alignment wrapText="1"/>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15" fillId="0" borderId="0" xfId="0" applyFont="1" applyAlignment="1">
      <alignment horizontal="left" vertical="center"/>
    </xf>
    <xf numFmtId="0" fontId="19" fillId="6" borderId="0" xfId="0" applyFont="1" applyFill="1" applyAlignment="1">
      <alignment wrapText="1"/>
    </xf>
    <xf numFmtId="0" fontId="2" fillId="6" borderId="0" xfId="0" applyFont="1" applyFill="1"/>
    <xf numFmtId="0" fontId="20" fillId="6" borderId="0" xfId="0" applyFont="1" applyFill="1" applyAlignment="1">
      <alignment wrapText="1"/>
    </xf>
    <xf numFmtId="14" fontId="0" fillId="6" borderId="0" xfId="0" applyNumberFormat="1" applyFill="1"/>
    <xf numFmtId="0" fontId="21" fillId="0" borderId="0" xfId="0" applyFont="1"/>
    <xf numFmtId="0" fontId="21" fillId="6" borderId="0" xfId="0" applyFont="1" applyFill="1"/>
    <xf numFmtId="14" fontId="0" fillId="6" borderId="0" xfId="0" applyNumberFormat="1" applyFill="1" applyAlignment="1">
      <alignment vertical="center"/>
    </xf>
    <xf numFmtId="0" fontId="0" fillId="6" borderId="0" xfId="0" applyFill="1" applyAlignment="1">
      <alignment vertical="center"/>
    </xf>
    <xf numFmtId="0" fontId="22" fillId="0" borderId="0" xfId="0" applyFont="1"/>
    <xf numFmtId="16" fontId="0" fillId="0" borderId="0" xfId="0" applyNumberFormat="1"/>
    <xf numFmtId="16" fontId="0" fillId="6" borderId="0" xfId="0" applyNumberFormat="1" applyFill="1"/>
    <xf numFmtId="0" fontId="15" fillId="4" borderId="1" xfId="0" applyFont="1" applyFill="1" applyBorder="1" applyAlignment="1">
      <alignment horizontal="left" vertical="center" wrapText="1"/>
    </xf>
    <xf numFmtId="0" fontId="15" fillId="4" borderId="1" xfId="0" applyFont="1" applyFill="1" applyBorder="1" applyAlignment="1">
      <alignment horizontal="left" vertical="center"/>
    </xf>
    <xf numFmtId="0" fontId="15" fillId="4" borderId="0" xfId="0" applyFont="1" applyFill="1" applyAlignment="1">
      <alignment horizontal="left" vertical="center"/>
    </xf>
    <xf numFmtId="0" fontId="5" fillId="0" borderId="0" xfId="0" applyFont="1" applyAlignment="1">
      <alignment vertical="center"/>
    </xf>
    <xf numFmtId="0" fontId="5" fillId="13" borderId="1" xfId="0" applyFont="1" applyFill="1" applyBorder="1" applyAlignment="1">
      <alignment horizontal="left" vertical="center" wrapText="1"/>
    </xf>
    <xf numFmtId="0" fontId="5" fillId="13" borderId="1" xfId="0" applyFont="1" applyFill="1" applyBorder="1" applyAlignment="1">
      <alignment horizontal="left" vertical="center"/>
    </xf>
    <xf numFmtId="0" fontId="5" fillId="0" borderId="1" xfId="0" applyFont="1" applyBorder="1" applyAlignment="1">
      <alignment vertical="center" wrapText="1"/>
    </xf>
    <xf numFmtId="0" fontId="24" fillId="0" borderId="1" xfId="0" applyFont="1" applyBorder="1" applyAlignment="1">
      <alignment vertical="center"/>
    </xf>
    <xf numFmtId="1" fontId="24" fillId="0" borderId="1" xfId="0" applyNumberFormat="1" applyFont="1" applyBorder="1" applyAlignment="1">
      <alignment horizontal="left" vertical="center" wrapText="1"/>
    </xf>
    <xf numFmtId="49" fontId="24" fillId="0" borderId="1" xfId="0" applyNumberFormat="1" applyFont="1" applyBorder="1" applyAlignment="1">
      <alignment horizontal="left" vertical="center" wrapText="1"/>
    </xf>
    <xf numFmtId="0" fontId="5" fillId="14" borderId="1" xfId="0" applyFont="1" applyFill="1" applyBorder="1" applyAlignment="1">
      <alignment vertical="center" wrapText="1"/>
    </xf>
    <xf numFmtId="0" fontId="5" fillId="14" borderId="1" xfId="0" applyFont="1" applyFill="1" applyBorder="1" applyAlignment="1">
      <alignment vertical="center"/>
    </xf>
    <xf numFmtId="0" fontId="5" fillId="14" borderId="1" xfId="0" applyFont="1" applyFill="1" applyBorder="1" applyAlignment="1">
      <alignment horizontal="left" vertical="center" wrapText="1"/>
    </xf>
    <xf numFmtId="0" fontId="5" fillId="14" borderId="1" xfId="0" applyFont="1" applyFill="1" applyBorder="1" applyAlignment="1">
      <alignment horizontal="left" vertical="center"/>
    </xf>
    <xf numFmtId="10" fontId="5" fillId="14" borderId="1" xfId="0" applyNumberFormat="1" applyFont="1" applyFill="1" applyBorder="1" applyAlignment="1">
      <alignment horizontal="left" vertical="center"/>
    </xf>
    <xf numFmtId="9" fontId="5" fillId="14" borderId="1" xfId="0" applyNumberFormat="1" applyFont="1" applyFill="1" applyBorder="1" applyAlignment="1">
      <alignment horizontal="left" vertical="center"/>
    </xf>
    <xf numFmtId="0" fontId="27" fillId="0" borderId="1" xfId="0" applyFont="1" applyBorder="1" applyAlignment="1">
      <alignment vertical="center"/>
    </xf>
    <xf numFmtId="49" fontId="27" fillId="0" borderId="1" xfId="0" applyNumberFormat="1"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vertical="center" wrapText="1"/>
    </xf>
    <xf numFmtId="0" fontId="5" fillId="0" borderId="1" xfId="0" applyFont="1" applyBorder="1" applyAlignment="1">
      <alignment vertical="center"/>
    </xf>
    <xf numFmtId="10" fontId="5" fillId="0" borderId="1" xfId="2" applyNumberFormat="1" applyFont="1" applyBorder="1" applyAlignment="1">
      <alignment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 xfId="2" applyNumberFormat="1" applyFont="1" applyBorder="1" applyAlignment="1">
      <alignment vertical="center"/>
    </xf>
    <xf numFmtId="16" fontId="5" fillId="13" borderId="1" xfId="0" applyNumberFormat="1" applyFont="1" applyFill="1" applyBorder="1" applyAlignment="1">
      <alignment horizontal="left" vertical="center"/>
    </xf>
    <xf numFmtId="0" fontId="5" fillId="4" borderId="0" xfId="0" applyFont="1" applyFill="1" applyAlignment="1">
      <alignment vertical="center" wrapText="1"/>
    </xf>
    <xf numFmtId="0" fontId="5" fillId="4" borderId="0" xfId="0" applyFont="1" applyFill="1" applyAlignment="1">
      <alignment vertical="center"/>
    </xf>
    <xf numFmtId="0" fontId="5" fillId="0" borderId="0" xfId="0" applyFont="1" applyAlignment="1">
      <alignment vertical="center" wrapText="1"/>
    </xf>
    <xf numFmtId="0" fontId="24" fillId="0" borderId="0" xfId="0" applyFont="1" applyAlignment="1">
      <alignment vertical="center"/>
    </xf>
    <xf numFmtId="0" fontId="5" fillId="0" borderId="1" xfId="0" applyFont="1" applyBorder="1"/>
    <xf numFmtId="0" fontId="5" fillId="4" borderId="1" xfId="0" applyFont="1" applyFill="1" applyBorder="1"/>
    <xf numFmtId="0" fontId="5" fillId="15" borderId="0" xfId="0" applyFont="1" applyFill="1" applyAlignment="1">
      <alignment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12" borderId="1" xfId="0" applyFont="1" applyFill="1" applyBorder="1" applyAlignment="1">
      <alignment horizontal="center" vertical="center"/>
    </xf>
    <xf numFmtId="0" fontId="25" fillId="0" borderId="1"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6"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xf>
    <xf numFmtId="0" fontId="0" fillId="0" borderId="1" xfId="0" applyBorder="1" applyAlignment="1">
      <alignment horizontal="center"/>
    </xf>
    <xf numFmtId="0" fontId="2" fillId="0" borderId="4" xfId="0" applyFont="1" applyBorder="1" applyAlignment="1">
      <alignment horizontal="center"/>
    </xf>
  </cellXfs>
  <cellStyles count="3">
    <cellStyle name="Hyperlink" xfId="1" builtinId="8"/>
    <cellStyle name="Normal" xfId="0" builtinId="0"/>
    <cellStyle name="Percent" xfId="2"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46036</xdr:colOff>
      <xdr:row>28</xdr:row>
      <xdr:rowOff>20638</xdr:rowOff>
    </xdr:from>
    <xdr:to>
      <xdr:col>2</xdr:col>
      <xdr:colOff>4761</xdr:colOff>
      <xdr:row>49</xdr:row>
      <xdr:rowOff>68542</xdr:rowOff>
    </xdr:to>
    <xdr:pic>
      <xdr:nvPicPr>
        <xdr:cNvPr id="2" name="Picture 1">
          <a:extLst>
            <a:ext uri="{FF2B5EF4-FFF2-40B4-BE49-F238E27FC236}">
              <a16:creationId xmlns:a16="http://schemas.microsoft.com/office/drawing/2014/main" id="{C2A84861-5826-433C-8E01-AE324BCD56D6}"/>
            </a:ext>
          </a:extLst>
        </xdr:cNvPr>
        <xdr:cNvPicPr>
          <a:picLocks noChangeAspect="1"/>
        </xdr:cNvPicPr>
      </xdr:nvPicPr>
      <xdr:blipFill>
        <a:blip xmlns:r="http://schemas.openxmlformats.org/officeDocument/2006/relationships" r:embed="rId1"/>
        <a:stretch>
          <a:fillRect/>
        </a:stretch>
      </xdr:blipFill>
      <xdr:spPr>
        <a:xfrm>
          <a:off x="1373186" y="5176838"/>
          <a:ext cx="2359025" cy="3915054"/>
        </a:xfrm>
        <a:prstGeom prst="rect">
          <a:avLst/>
        </a:prstGeom>
      </xdr:spPr>
    </xdr:pic>
    <xdr:clientData/>
  </xdr:twoCellAnchor>
  <xdr:twoCellAnchor editAs="oneCell">
    <xdr:from>
      <xdr:col>1</xdr:col>
      <xdr:colOff>95250</xdr:colOff>
      <xdr:row>57</xdr:row>
      <xdr:rowOff>71437</xdr:rowOff>
    </xdr:from>
    <xdr:to>
      <xdr:col>1</xdr:col>
      <xdr:colOff>1928812</xdr:colOff>
      <xdr:row>67</xdr:row>
      <xdr:rowOff>2408</xdr:rowOff>
    </xdr:to>
    <xdr:pic>
      <xdr:nvPicPr>
        <xdr:cNvPr id="3" name="Picture 2">
          <a:extLst>
            <a:ext uri="{FF2B5EF4-FFF2-40B4-BE49-F238E27FC236}">
              <a16:creationId xmlns:a16="http://schemas.microsoft.com/office/drawing/2014/main" id="{133CE244-5B26-4A7F-852A-B2A5C99309C8}"/>
            </a:ext>
          </a:extLst>
        </xdr:cNvPr>
        <xdr:cNvPicPr>
          <a:picLocks noChangeAspect="1"/>
        </xdr:cNvPicPr>
      </xdr:nvPicPr>
      <xdr:blipFill>
        <a:blip xmlns:r="http://schemas.openxmlformats.org/officeDocument/2006/relationships" r:embed="rId2"/>
        <a:stretch>
          <a:fillRect/>
        </a:stretch>
      </xdr:blipFill>
      <xdr:spPr>
        <a:xfrm>
          <a:off x="1422400" y="10567987"/>
          <a:ext cx="1833562" cy="17724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lesh Poddaturi" id="{5D4E5176-FD92-4D37-B78D-47FBE0306D1A}" userId="S::Nilesh.Poddaturi@valuemomentum.com::66f6f17d-ed2d-4fb9-9cfa-d32e01fbaf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5-06-20T14:04:39.52" personId="{5D4E5176-FD92-4D37-B78D-47FBE0306D1A}" id="{9398F692-FC21-4111-99B9-A89333C749DC}">
    <text xml:space="preserve">Their insights drive underwriting profitability, pricing adequacy, and portfolio optimization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rate.com/insurance/resources/consumer-insights-home-insurance-trends-for-2025/?utm_source=chatgpt.com" TargetMode="External"/><Relationship Id="rId2" Type="http://schemas.openxmlformats.org/officeDocument/2006/relationships/hyperlink" Target="https://www.simply-title.com/post/property-insurance-costs-surge-in-2024?utm_source=chatgpt.com" TargetMode="External"/><Relationship Id="rId1" Type="http://schemas.openxmlformats.org/officeDocument/2006/relationships/hyperlink" Target="https://www.spglobal.com/market-intelligence/en/news-insights/articles/2025/1/us-homeowners-rates-rise-by-double-digits-for-2nd-straight-year-in-2024-87061085?utm_source=chatgpt.com"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4922-B235-48E5-99A4-6366DD3A9CB7}">
  <dimension ref="A1:G28"/>
  <sheetViews>
    <sheetView showGridLines="0" workbookViewId="0">
      <selection activeCell="B5" sqref="B5"/>
    </sheetView>
  </sheetViews>
  <sheetFormatPr defaultRowHeight="14.5"/>
  <cols>
    <col min="1" max="1" width="13.54296875" bestFit="1" customWidth="1"/>
    <col min="2" max="2" width="35.453125" bestFit="1" customWidth="1"/>
    <col min="3" max="3" width="64" customWidth="1"/>
    <col min="4" max="4" width="11.1796875" customWidth="1"/>
    <col min="5" max="5" width="24" customWidth="1"/>
    <col min="6" max="6" width="29.1796875" customWidth="1"/>
    <col min="7" max="7" width="15.81640625" customWidth="1"/>
  </cols>
  <sheetData>
    <row r="1" spans="1:7">
      <c r="A1" s="6" t="s">
        <v>0</v>
      </c>
      <c r="B1" s="6" t="s">
        <v>1</v>
      </c>
      <c r="C1" s="6" t="s">
        <v>2</v>
      </c>
      <c r="D1" s="6" t="s">
        <v>3</v>
      </c>
      <c r="E1" s="6" t="s">
        <v>4</v>
      </c>
      <c r="F1" s="33" t="s">
        <v>5</v>
      </c>
      <c r="G1" s="33" t="s">
        <v>6</v>
      </c>
    </row>
    <row r="2" spans="1:7" s="55" customFormat="1">
      <c r="A2" s="53">
        <v>45839</v>
      </c>
      <c r="B2" s="54" t="s">
        <v>7</v>
      </c>
      <c r="C2" s="56" t="s">
        <v>8</v>
      </c>
      <c r="D2" s="54" t="s">
        <v>9</v>
      </c>
      <c r="E2" s="54" t="s">
        <v>10</v>
      </c>
    </row>
    <row r="3" spans="1:7" s="55" customFormat="1">
      <c r="A3" s="53">
        <v>45839</v>
      </c>
      <c r="B3" s="54" t="s">
        <v>11</v>
      </c>
      <c r="C3" s="54" t="s">
        <v>12</v>
      </c>
      <c r="D3" s="54" t="s">
        <v>9</v>
      </c>
      <c r="E3" s="54" t="s">
        <v>10</v>
      </c>
    </row>
    <row r="4" spans="1:7" s="55" customFormat="1">
      <c r="A4" s="53">
        <v>45839</v>
      </c>
      <c r="B4" s="54" t="s">
        <v>13</v>
      </c>
      <c r="C4" s="54" t="s">
        <v>14</v>
      </c>
      <c r="D4" s="54" t="s">
        <v>9</v>
      </c>
      <c r="E4" s="54" t="s">
        <v>15</v>
      </c>
    </row>
    <row r="5" spans="1:7">
      <c r="A5" s="44">
        <v>45839</v>
      </c>
      <c r="B5" s="8" t="s">
        <v>16</v>
      </c>
      <c r="C5" s="45" t="s">
        <v>17</v>
      </c>
      <c r="D5" s="8"/>
      <c r="E5" s="8" t="s">
        <v>18</v>
      </c>
    </row>
    <row r="6" spans="1:7" s="55" customFormat="1">
      <c r="A6" s="53">
        <v>45839</v>
      </c>
      <c r="B6" s="54" t="s">
        <v>19</v>
      </c>
      <c r="C6" s="54" t="s">
        <v>19</v>
      </c>
      <c r="D6" s="54" t="s">
        <v>20</v>
      </c>
      <c r="E6" s="54" t="s">
        <v>10</v>
      </c>
    </row>
    <row r="7" spans="1:7" s="55" customFormat="1">
      <c r="A7" s="53">
        <v>45839</v>
      </c>
      <c r="B7" s="54" t="s">
        <v>21</v>
      </c>
      <c r="C7" s="54"/>
      <c r="D7" s="54" t="s">
        <v>9</v>
      </c>
      <c r="E7" s="54" t="s">
        <v>22</v>
      </c>
      <c r="F7" s="55" t="s">
        <v>23</v>
      </c>
    </row>
    <row r="8" spans="1:7" s="55" customFormat="1">
      <c r="A8" s="53">
        <v>45839</v>
      </c>
      <c r="B8" s="54" t="s">
        <v>24</v>
      </c>
      <c r="C8" s="54" t="s">
        <v>25</v>
      </c>
      <c r="D8" s="54" t="s">
        <v>9</v>
      </c>
      <c r="E8" s="54" t="s">
        <v>10</v>
      </c>
    </row>
    <row r="9" spans="1:7" s="55" customFormat="1">
      <c r="A9" s="53">
        <v>45839</v>
      </c>
      <c r="B9" s="54" t="s">
        <v>26</v>
      </c>
      <c r="C9" s="54"/>
      <c r="D9" s="54" t="s">
        <v>9</v>
      </c>
      <c r="E9" s="54" t="s">
        <v>10</v>
      </c>
      <c r="G9" s="73" t="s">
        <v>27</v>
      </c>
    </row>
    <row r="10" spans="1:7" s="55" customFormat="1">
      <c r="A10" s="53">
        <v>45839</v>
      </c>
      <c r="B10" s="54" t="s">
        <v>28</v>
      </c>
      <c r="C10" s="54"/>
      <c r="D10" s="54" t="s">
        <v>9</v>
      </c>
      <c r="E10" s="54" t="s">
        <v>10</v>
      </c>
      <c r="G10" s="73" t="s">
        <v>27</v>
      </c>
    </row>
    <row r="11" spans="1:7" s="55" customFormat="1">
      <c r="A11" s="53">
        <v>45839</v>
      </c>
      <c r="B11" s="54" t="s">
        <v>29</v>
      </c>
      <c r="C11" s="54"/>
      <c r="D11" s="54" t="s">
        <v>9</v>
      </c>
      <c r="E11" s="54" t="s">
        <v>10</v>
      </c>
      <c r="G11" s="73" t="s">
        <v>27</v>
      </c>
    </row>
    <row r="12" spans="1:7" s="55" customFormat="1">
      <c r="A12" s="53">
        <v>45839</v>
      </c>
      <c r="B12" s="55" t="s">
        <v>30</v>
      </c>
      <c r="D12" s="55" t="s">
        <v>9</v>
      </c>
      <c r="E12" s="55" t="s">
        <v>31</v>
      </c>
      <c r="G12" s="73" t="s">
        <v>27</v>
      </c>
    </row>
    <row r="13" spans="1:7">
      <c r="A13" s="44">
        <v>45839</v>
      </c>
      <c r="B13" t="s">
        <v>32</v>
      </c>
      <c r="C13" t="s">
        <v>33</v>
      </c>
      <c r="D13" t="s">
        <v>34</v>
      </c>
      <c r="E13" t="s">
        <v>15</v>
      </c>
    </row>
    <row r="14" spans="1:7">
      <c r="A14" s="44">
        <v>45839</v>
      </c>
      <c r="B14" t="s">
        <v>35</v>
      </c>
      <c r="C14" t="s">
        <v>36</v>
      </c>
      <c r="D14" t="s">
        <v>34</v>
      </c>
      <c r="E14" t="s">
        <v>15</v>
      </c>
    </row>
    <row r="15" spans="1:7" s="55" customFormat="1">
      <c r="A15" s="53">
        <v>45839</v>
      </c>
      <c r="B15" s="55" t="s">
        <v>37</v>
      </c>
      <c r="C15" s="55" t="s">
        <v>38</v>
      </c>
      <c r="D15" s="55" t="s">
        <v>9</v>
      </c>
      <c r="E15" s="55" t="s">
        <v>10</v>
      </c>
    </row>
    <row r="16" spans="1:7" s="55" customFormat="1">
      <c r="A16" s="71">
        <v>45839</v>
      </c>
      <c r="B16" s="55" t="s">
        <v>39</v>
      </c>
      <c r="D16" s="55" t="s">
        <v>9</v>
      </c>
      <c r="E16" s="55" t="s">
        <v>10</v>
      </c>
      <c r="G16" s="73" t="s">
        <v>27</v>
      </c>
    </row>
    <row r="17" spans="1:6" s="75" customFormat="1" ht="47.25" customHeight="1">
      <c r="A17" s="74">
        <v>45840</v>
      </c>
      <c r="B17" s="75" t="s">
        <v>40</v>
      </c>
      <c r="C17" s="75" t="s">
        <v>41</v>
      </c>
      <c r="D17" s="75" t="s">
        <v>34</v>
      </c>
      <c r="E17" s="75" t="s">
        <v>10</v>
      </c>
      <c r="F17" s="75" t="s">
        <v>42</v>
      </c>
    </row>
    <row r="18" spans="1:6" s="55" customFormat="1">
      <c r="A18" s="78">
        <v>45845</v>
      </c>
      <c r="B18" s="55" t="s">
        <v>43</v>
      </c>
      <c r="C18" s="55" t="s">
        <v>44</v>
      </c>
      <c r="D18" s="55" t="s">
        <v>9</v>
      </c>
      <c r="E18" s="55" t="s">
        <v>10</v>
      </c>
    </row>
    <row r="19" spans="1:6" s="55" customFormat="1">
      <c r="A19" s="71">
        <v>45847</v>
      </c>
      <c r="B19" s="55" t="s">
        <v>45</v>
      </c>
      <c r="C19" s="55" t="s">
        <v>46</v>
      </c>
      <c r="D19" s="55" t="s">
        <v>9</v>
      </c>
      <c r="E19" s="55" t="s">
        <v>10</v>
      </c>
    </row>
    <row r="20" spans="1:6" s="55" customFormat="1">
      <c r="A20" s="71">
        <v>45847</v>
      </c>
      <c r="B20" s="55" t="s">
        <v>47</v>
      </c>
      <c r="C20" s="55" t="s">
        <v>48</v>
      </c>
      <c r="D20" s="55" t="s">
        <v>9</v>
      </c>
      <c r="E20" s="55" t="s">
        <v>10</v>
      </c>
    </row>
    <row r="21" spans="1:6">
      <c r="A21" s="77">
        <v>45848</v>
      </c>
      <c r="B21" t="s">
        <v>49</v>
      </c>
      <c r="C21" t="s">
        <v>50</v>
      </c>
      <c r="D21" t="s">
        <v>51</v>
      </c>
      <c r="E21" t="s">
        <v>10</v>
      </c>
    </row>
    <row r="22" spans="1:6">
      <c r="A22" s="77">
        <v>45848</v>
      </c>
      <c r="B22" t="s">
        <v>52</v>
      </c>
    </row>
    <row r="23" spans="1:6">
      <c r="A23" s="77">
        <v>45848</v>
      </c>
      <c r="B23" t="s">
        <v>53</v>
      </c>
      <c r="C23" t="s">
        <v>54</v>
      </c>
      <c r="D23" t="s">
        <v>34</v>
      </c>
      <c r="E23" t="s">
        <v>10</v>
      </c>
    </row>
    <row r="24" spans="1:6" s="55" customFormat="1">
      <c r="A24" s="78">
        <v>45848</v>
      </c>
      <c r="B24" s="55" t="s">
        <v>55</v>
      </c>
      <c r="D24" s="55" t="s">
        <v>9</v>
      </c>
      <c r="E24" s="55" t="s">
        <v>56</v>
      </c>
    </row>
    <row r="25" spans="1:6">
      <c r="A25" s="77">
        <v>45848</v>
      </c>
      <c r="B25" t="s">
        <v>57</v>
      </c>
      <c r="E25" t="s">
        <v>58</v>
      </c>
    </row>
    <row r="26" spans="1:6">
      <c r="A26" s="77">
        <v>45852</v>
      </c>
      <c r="B26" t="s">
        <v>59</v>
      </c>
    </row>
    <row r="27" spans="1:6">
      <c r="A27" s="77">
        <v>45852</v>
      </c>
      <c r="B27" t="s">
        <v>60</v>
      </c>
      <c r="C27" t="s">
        <v>61</v>
      </c>
      <c r="D27" t="s">
        <v>34</v>
      </c>
      <c r="E27" t="s">
        <v>62</v>
      </c>
    </row>
    <row r="28" spans="1:6">
      <c r="A28" s="77">
        <v>45852</v>
      </c>
      <c r="B28" t="s">
        <v>63</v>
      </c>
      <c r="D28" t="s">
        <v>34</v>
      </c>
      <c r="E2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1E42-BDBD-40D0-8ADC-AAA6404B89AF}">
  <dimension ref="A1:G174"/>
  <sheetViews>
    <sheetView showGridLines="0" tabSelected="1" zoomScale="80" zoomScaleNormal="80" workbookViewId="0">
      <pane xSplit="2" ySplit="1" topLeftCell="D2" activePane="bottomRight" state="frozen"/>
      <selection pane="topRight" activeCell="C1" sqref="C1"/>
      <selection pane="bottomLeft" activeCell="A2" sqref="A2"/>
      <selection pane="bottomRight" activeCell="B1" sqref="B1"/>
    </sheetView>
  </sheetViews>
  <sheetFormatPr defaultColWidth="8.7265625" defaultRowHeight="13"/>
  <cols>
    <col min="1" max="1" width="18.81640625" style="3" customWidth="1"/>
    <col min="2" max="2" width="25.81640625" style="2" bestFit="1" customWidth="1"/>
    <col min="3" max="3" width="16.81640625" style="2" customWidth="1"/>
    <col min="4" max="4" width="58.54296875" style="3" customWidth="1"/>
    <col min="5" max="6" width="24.81640625" style="3" customWidth="1"/>
    <col min="7" max="7" width="38.453125" style="3" customWidth="1"/>
    <col min="8" max="16384" width="8.7265625" style="7"/>
  </cols>
  <sheetData>
    <row r="1" spans="1:7" s="1" customFormat="1">
      <c r="A1" s="6" t="s">
        <v>64</v>
      </c>
      <c r="B1" s="5" t="s">
        <v>65</v>
      </c>
      <c r="C1" s="5" t="s">
        <v>66</v>
      </c>
      <c r="D1" s="6" t="s">
        <v>2</v>
      </c>
      <c r="E1" s="6" t="s">
        <v>67</v>
      </c>
      <c r="F1" s="6" t="s">
        <v>68</v>
      </c>
      <c r="G1" s="6" t="s">
        <v>4</v>
      </c>
    </row>
    <row r="2" spans="1:7">
      <c r="A2" s="3" t="s">
        <v>69</v>
      </c>
      <c r="B2" s="2" t="s">
        <v>70</v>
      </c>
      <c r="C2" s="2" t="s">
        <v>71</v>
      </c>
      <c r="D2" s="3" t="s">
        <v>72</v>
      </c>
      <c r="G2" s="3" t="s">
        <v>72</v>
      </c>
    </row>
    <row r="3" spans="1:7">
      <c r="A3" s="3" t="s">
        <v>69</v>
      </c>
      <c r="B3" s="2" t="s">
        <v>73</v>
      </c>
      <c r="C3" s="2" t="s">
        <v>74</v>
      </c>
      <c r="D3" s="3" t="s">
        <v>73</v>
      </c>
    </row>
    <row r="4" spans="1:7">
      <c r="A4" s="3" t="s">
        <v>69</v>
      </c>
      <c r="B4" s="2" t="s">
        <v>75</v>
      </c>
      <c r="C4" s="2" t="s">
        <v>71</v>
      </c>
    </row>
    <row r="5" spans="1:7">
      <c r="A5" s="3" t="s">
        <v>69</v>
      </c>
      <c r="B5" s="2" t="s">
        <v>76</v>
      </c>
      <c r="C5" s="2" t="s">
        <v>71</v>
      </c>
      <c r="D5" s="3" t="s">
        <v>77</v>
      </c>
      <c r="G5" s="3" t="s">
        <v>78</v>
      </c>
    </row>
    <row r="6" spans="1:7">
      <c r="A6" s="3" t="s">
        <v>69</v>
      </c>
      <c r="B6" s="2" t="s">
        <v>79</v>
      </c>
      <c r="C6" s="2" t="s">
        <v>80</v>
      </c>
      <c r="D6" s="3" t="s">
        <v>81</v>
      </c>
    </row>
    <row r="7" spans="1:7">
      <c r="A7" s="3" t="s">
        <v>69</v>
      </c>
      <c r="B7" s="2" t="s">
        <v>82</v>
      </c>
      <c r="C7" s="2" t="s">
        <v>80</v>
      </c>
      <c r="D7" s="3" t="s">
        <v>83</v>
      </c>
    </row>
    <row r="8" spans="1:7">
      <c r="A8" s="3" t="s">
        <v>69</v>
      </c>
      <c r="B8" s="2" t="s">
        <v>84</v>
      </c>
      <c r="C8" s="2" t="s">
        <v>80</v>
      </c>
      <c r="D8" s="3" t="s">
        <v>85</v>
      </c>
    </row>
    <row r="9" spans="1:7" ht="26">
      <c r="A9" s="3" t="s">
        <v>69</v>
      </c>
      <c r="B9" s="2" t="s">
        <v>86</v>
      </c>
      <c r="C9" s="2" t="s">
        <v>80</v>
      </c>
      <c r="D9" s="3" t="s">
        <v>87</v>
      </c>
    </row>
    <row r="10" spans="1:7" ht="26">
      <c r="A10" s="3" t="s">
        <v>69</v>
      </c>
      <c r="B10" s="2" t="s">
        <v>88</v>
      </c>
      <c r="C10" s="2" t="s">
        <v>71</v>
      </c>
      <c r="D10" s="3" t="s">
        <v>89</v>
      </c>
      <c r="E10" s="3" t="s">
        <v>90</v>
      </c>
      <c r="G10" s="3" t="s">
        <v>78</v>
      </c>
    </row>
    <row r="11" spans="1:7">
      <c r="A11" s="3" t="s">
        <v>69</v>
      </c>
      <c r="B11" s="2" t="s">
        <v>91</v>
      </c>
      <c r="C11" s="2" t="s">
        <v>74</v>
      </c>
      <c r="D11" s="3" t="s">
        <v>92</v>
      </c>
    </row>
    <row r="12" spans="1:7" s="48" customFormat="1">
      <c r="A12" s="46" t="s">
        <v>69</v>
      </c>
      <c r="B12" s="47" t="s">
        <v>93</v>
      </c>
      <c r="C12" s="47" t="s">
        <v>74</v>
      </c>
      <c r="D12" s="46" t="s">
        <v>93</v>
      </c>
      <c r="E12" s="46"/>
      <c r="F12" s="46" t="s">
        <v>94</v>
      </c>
      <c r="G12" s="46"/>
    </row>
    <row r="13" spans="1:7">
      <c r="A13" s="3" t="s">
        <v>95</v>
      </c>
      <c r="B13" s="2" t="s">
        <v>96</v>
      </c>
      <c r="C13" s="2" t="s">
        <v>71</v>
      </c>
    </row>
    <row r="14" spans="1:7" ht="26">
      <c r="A14" s="3" t="s">
        <v>95</v>
      </c>
      <c r="B14" s="2" t="s">
        <v>97</v>
      </c>
      <c r="C14" s="2" t="s">
        <v>80</v>
      </c>
      <c r="D14" s="3" t="s">
        <v>98</v>
      </c>
    </row>
    <row r="15" spans="1:7">
      <c r="A15" s="3" t="s">
        <v>95</v>
      </c>
      <c r="B15" s="2" t="s">
        <v>99</v>
      </c>
      <c r="C15" s="2" t="s">
        <v>71</v>
      </c>
    </row>
    <row r="16" spans="1:7">
      <c r="A16" s="3" t="s">
        <v>95</v>
      </c>
      <c r="B16" s="2" t="s">
        <v>100</v>
      </c>
      <c r="C16" s="2" t="s">
        <v>101</v>
      </c>
      <c r="D16" s="3" t="s">
        <v>102</v>
      </c>
    </row>
    <row r="17" spans="1:7">
      <c r="A17" s="3" t="s">
        <v>95</v>
      </c>
      <c r="B17" s="2" t="s">
        <v>103</v>
      </c>
      <c r="C17" s="2" t="s">
        <v>101</v>
      </c>
      <c r="D17" s="3" t="s">
        <v>104</v>
      </c>
    </row>
    <row r="18" spans="1:7">
      <c r="A18" s="3" t="s">
        <v>95</v>
      </c>
      <c r="B18" s="2" t="s">
        <v>105</v>
      </c>
      <c r="C18" s="2" t="s">
        <v>101</v>
      </c>
    </row>
    <row r="19" spans="1:7">
      <c r="A19" s="3" t="s">
        <v>95</v>
      </c>
      <c r="B19" s="2" t="s">
        <v>106</v>
      </c>
      <c r="C19" s="2" t="s">
        <v>101</v>
      </c>
    </row>
    <row r="20" spans="1:7" s="67" customFormat="1" ht="39">
      <c r="A20" s="65" t="s">
        <v>95</v>
      </c>
      <c r="B20" s="66" t="s">
        <v>107</v>
      </c>
      <c r="C20" s="66" t="s">
        <v>101</v>
      </c>
      <c r="D20" s="65"/>
      <c r="E20" s="65"/>
      <c r="F20" s="65" t="s">
        <v>108</v>
      </c>
      <c r="G20" s="65"/>
    </row>
    <row r="21" spans="1:7" s="81" customFormat="1" ht="91">
      <c r="A21" s="79" t="s">
        <v>95</v>
      </c>
      <c r="B21" s="80" t="s">
        <v>109</v>
      </c>
      <c r="C21" s="80" t="s">
        <v>101</v>
      </c>
      <c r="D21" s="79" t="s">
        <v>110</v>
      </c>
      <c r="E21" s="79"/>
      <c r="F21" s="79" t="s">
        <v>111</v>
      </c>
      <c r="G21" s="79" t="s">
        <v>112</v>
      </c>
    </row>
    <row r="22" spans="1:7" s="81" customFormat="1" ht="78">
      <c r="A22" s="79" t="s">
        <v>95</v>
      </c>
      <c r="B22" s="80" t="s">
        <v>113</v>
      </c>
      <c r="C22" s="80" t="s">
        <v>101</v>
      </c>
      <c r="D22" s="79" t="s">
        <v>114</v>
      </c>
      <c r="E22" s="79"/>
      <c r="F22" s="79" t="s">
        <v>111</v>
      </c>
      <c r="G22" s="79" t="s">
        <v>115</v>
      </c>
    </row>
    <row r="23" spans="1:7">
      <c r="A23" s="3" t="s">
        <v>116</v>
      </c>
      <c r="B23" s="2" t="s">
        <v>117</v>
      </c>
      <c r="C23" s="2" t="s">
        <v>71</v>
      </c>
    </row>
    <row r="24" spans="1:7">
      <c r="A24" s="3" t="s">
        <v>116</v>
      </c>
      <c r="B24" s="2" t="s">
        <v>99</v>
      </c>
      <c r="C24" s="2" t="s">
        <v>71</v>
      </c>
    </row>
    <row r="25" spans="1:7">
      <c r="A25" s="3" t="s">
        <v>116</v>
      </c>
      <c r="B25" s="2" t="s">
        <v>118</v>
      </c>
      <c r="C25" s="2" t="s">
        <v>71</v>
      </c>
    </row>
    <row r="26" spans="1:7" ht="26">
      <c r="A26" s="3" t="s">
        <v>116</v>
      </c>
      <c r="B26" s="2" t="s">
        <v>119</v>
      </c>
      <c r="C26" s="2" t="s">
        <v>71</v>
      </c>
      <c r="D26" s="3" t="s">
        <v>120</v>
      </c>
      <c r="E26" s="3" t="s">
        <v>121</v>
      </c>
      <c r="G26" s="3" t="s">
        <v>78</v>
      </c>
    </row>
    <row r="27" spans="1:7">
      <c r="A27" s="3" t="s">
        <v>116</v>
      </c>
      <c r="B27" s="2" t="s">
        <v>122</v>
      </c>
      <c r="C27" s="2" t="s">
        <v>80</v>
      </c>
      <c r="D27" s="3" t="s">
        <v>123</v>
      </c>
    </row>
    <row r="28" spans="1:7">
      <c r="A28" s="3" t="s">
        <v>116</v>
      </c>
      <c r="B28" s="2" t="s">
        <v>124</v>
      </c>
      <c r="C28" s="2" t="s">
        <v>80</v>
      </c>
      <c r="D28" s="3" t="s">
        <v>125</v>
      </c>
    </row>
    <row r="29" spans="1:7">
      <c r="A29" s="3" t="s">
        <v>126</v>
      </c>
      <c r="B29" s="2" t="s">
        <v>75</v>
      </c>
      <c r="C29" s="2" t="s">
        <v>71</v>
      </c>
    </row>
    <row r="30" spans="1:7">
      <c r="A30" s="3" t="s">
        <v>126</v>
      </c>
      <c r="B30" s="2" t="s">
        <v>127</v>
      </c>
      <c r="C30" s="2" t="s">
        <v>74</v>
      </c>
      <c r="D30" s="3" t="s">
        <v>127</v>
      </c>
      <c r="E30" s="3" t="s">
        <v>128</v>
      </c>
    </row>
    <row r="31" spans="1:7">
      <c r="A31" s="3" t="s">
        <v>126</v>
      </c>
      <c r="B31" s="2" t="s">
        <v>129</v>
      </c>
      <c r="C31" s="2" t="s">
        <v>74</v>
      </c>
      <c r="E31" s="3" t="s">
        <v>130</v>
      </c>
    </row>
    <row r="32" spans="1:7">
      <c r="A32" s="3" t="s">
        <v>126</v>
      </c>
      <c r="B32" s="2" t="s">
        <v>131</v>
      </c>
      <c r="C32" s="2" t="s">
        <v>74</v>
      </c>
      <c r="D32" s="3" t="s">
        <v>131</v>
      </c>
    </row>
    <row r="33" spans="1:7">
      <c r="A33" s="3" t="s">
        <v>132</v>
      </c>
      <c r="B33" s="2" t="s">
        <v>118</v>
      </c>
      <c r="C33" s="2" t="s">
        <v>71</v>
      </c>
    </row>
    <row r="34" spans="1:7">
      <c r="A34" s="3" t="s">
        <v>132</v>
      </c>
      <c r="B34" s="2" t="s">
        <v>133</v>
      </c>
      <c r="C34" s="2" t="s">
        <v>71</v>
      </c>
      <c r="D34" s="3" t="s">
        <v>134</v>
      </c>
      <c r="E34" s="3" t="s">
        <v>135</v>
      </c>
      <c r="G34" s="3" t="s">
        <v>78</v>
      </c>
    </row>
    <row r="35" spans="1:7">
      <c r="A35" s="3" t="s">
        <v>132</v>
      </c>
      <c r="B35" s="2" t="s">
        <v>136</v>
      </c>
      <c r="C35" s="2" t="s">
        <v>74</v>
      </c>
      <c r="D35" s="3" t="s">
        <v>137</v>
      </c>
      <c r="E35" s="3" t="s">
        <v>138</v>
      </c>
    </row>
    <row r="36" spans="1:7">
      <c r="A36" s="3" t="s">
        <v>132</v>
      </c>
      <c r="B36" s="2" t="s">
        <v>139</v>
      </c>
      <c r="C36" s="2" t="s">
        <v>74</v>
      </c>
    </row>
    <row r="37" spans="1:7">
      <c r="A37" s="3" t="s">
        <v>132</v>
      </c>
      <c r="B37" s="2" t="s">
        <v>140</v>
      </c>
      <c r="C37" s="2" t="s">
        <v>74</v>
      </c>
    </row>
    <row r="38" spans="1:7">
      <c r="A38" s="3" t="s">
        <v>132</v>
      </c>
      <c r="B38" s="2" t="s">
        <v>141</v>
      </c>
      <c r="C38" s="2" t="s">
        <v>74</v>
      </c>
    </row>
    <row r="39" spans="1:7">
      <c r="A39" s="3" t="s">
        <v>132</v>
      </c>
      <c r="B39" s="2" t="s">
        <v>142</v>
      </c>
      <c r="C39" s="2" t="s">
        <v>74</v>
      </c>
      <c r="D39" s="3" t="s">
        <v>143</v>
      </c>
    </row>
    <row r="40" spans="1:7">
      <c r="A40" s="3" t="s">
        <v>132</v>
      </c>
      <c r="B40" s="2" t="s">
        <v>144</v>
      </c>
      <c r="C40" s="2" t="s">
        <v>74</v>
      </c>
    </row>
    <row r="41" spans="1:7">
      <c r="A41" s="3" t="s">
        <v>132</v>
      </c>
      <c r="B41" s="2" t="s">
        <v>145</v>
      </c>
      <c r="C41" s="2" t="s">
        <v>74</v>
      </c>
    </row>
    <row r="42" spans="1:7">
      <c r="A42" s="3" t="s">
        <v>132</v>
      </c>
      <c r="B42" s="2" t="s">
        <v>146</v>
      </c>
      <c r="C42" s="2" t="s">
        <v>74</v>
      </c>
    </row>
    <row r="43" spans="1:7">
      <c r="A43" s="3" t="s">
        <v>132</v>
      </c>
      <c r="B43" s="2" t="s">
        <v>147</v>
      </c>
      <c r="C43" s="2" t="s">
        <v>80</v>
      </c>
    </row>
    <row r="44" spans="1:7">
      <c r="A44" s="3" t="s">
        <v>132</v>
      </c>
      <c r="B44" s="2" t="s">
        <v>148</v>
      </c>
      <c r="C44" s="2" t="s">
        <v>74</v>
      </c>
      <c r="G44" s="3" t="s">
        <v>149</v>
      </c>
    </row>
    <row r="45" spans="1:7">
      <c r="A45" s="3" t="s">
        <v>132</v>
      </c>
      <c r="B45" s="2" t="s">
        <v>150</v>
      </c>
      <c r="C45" s="2" t="s">
        <v>80</v>
      </c>
    </row>
    <row r="46" spans="1:7">
      <c r="A46" s="3" t="s">
        <v>151</v>
      </c>
      <c r="B46" s="2" t="s">
        <v>152</v>
      </c>
      <c r="C46" s="2" t="s">
        <v>71</v>
      </c>
    </row>
    <row r="47" spans="1:7">
      <c r="A47" s="3" t="s">
        <v>151</v>
      </c>
      <c r="B47" s="2" t="s">
        <v>118</v>
      </c>
      <c r="C47" s="2" t="s">
        <v>71</v>
      </c>
    </row>
    <row r="48" spans="1:7">
      <c r="A48" s="3" t="s">
        <v>151</v>
      </c>
      <c r="B48" s="2" t="s">
        <v>153</v>
      </c>
      <c r="C48" s="2" t="s">
        <v>74</v>
      </c>
    </row>
    <row r="49" spans="1:7">
      <c r="A49" s="3" t="s">
        <v>151</v>
      </c>
      <c r="B49" s="2" t="s">
        <v>154</v>
      </c>
      <c r="C49" s="2" t="s">
        <v>74</v>
      </c>
    </row>
    <row r="50" spans="1:7">
      <c r="A50" s="3" t="s">
        <v>151</v>
      </c>
      <c r="B50" s="2" t="s">
        <v>155</v>
      </c>
      <c r="C50" s="2" t="s">
        <v>74</v>
      </c>
    </row>
    <row r="51" spans="1:7">
      <c r="A51" s="3" t="s">
        <v>151</v>
      </c>
      <c r="B51" s="2" t="s">
        <v>156</v>
      </c>
      <c r="C51" s="2" t="s">
        <v>74</v>
      </c>
    </row>
    <row r="52" spans="1:7">
      <c r="A52" s="3" t="s">
        <v>151</v>
      </c>
      <c r="B52" s="2" t="s">
        <v>157</v>
      </c>
      <c r="C52" s="2" t="s">
        <v>74</v>
      </c>
    </row>
    <row r="53" spans="1:7">
      <c r="A53" s="3" t="s">
        <v>158</v>
      </c>
      <c r="B53" s="2" t="s">
        <v>159</v>
      </c>
      <c r="C53" s="2" t="s">
        <v>71</v>
      </c>
    </row>
    <row r="54" spans="1:7">
      <c r="A54" s="3" t="s">
        <v>158</v>
      </c>
      <c r="B54" s="2" t="s">
        <v>118</v>
      </c>
      <c r="C54" s="2" t="s">
        <v>71</v>
      </c>
    </row>
    <row r="55" spans="1:7">
      <c r="A55" s="3" t="s">
        <v>158</v>
      </c>
      <c r="B55" s="2" t="s">
        <v>160</v>
      </c>
      <c r="C55" s="2" t="s">
        <v>71</v>
      </c>
      <c r="D55" s="3" t="s">
        <v>161</v>
      </c>
      <c r="E55" s="3" t="s">
        <v>162</v>
      </c>
      <c r="G55" s="3" t="s">
        <v>78</v>
      </c>
    </row>
    <row r="56" spans="1:7">
      <c r="A56" s="3" t="s">
        <v>158</v>
      </c>
      <c r="B56" s="2" t="s">
        <v>163</v>
      </c>
      <c r="C56" s="2" t="s">
        <v>74</v>
      </c>
    </row>
    <row r="57" spans="1:7">
      <c r="A57" s="3" t="s">
        <v>158</v>
      </c>
      <c r="B57" s="2" t="s">
        <v>164</v>
      </c>
      <c r="C57" s="2" t="s">
        <v>74</v>
      </c>
    </row>
    <row r="58" spans="1:7">
      <c r="A58" s="3" t="s">
        <v>158</v>
      </c>
      <c r="B58" s="2" t="s">
        <v>165</v>
      </c>
      <c r="C58" s="2" t="s">
        <v>74</v>
      </c>
    </row>
    <row r="59" spans="1:7">
      <c r="A59" s="3" t="s">
        <v>158</v>
      </c>
      <c r="B59" s="2" t="s">
        <v>166</v>
      </c>
      <c r="C59" s="2" t="s">
        <v>74</v>
      </c>
    </row>
    <row r="60" spans="1:7">
      <c r="A60" s="3" t="s">
        <v>158</v>
      </c>
      <c r="B60" s="2" t="s">
        <v>167</v>
      </c>
      <c r="C60" s="2" t="s">
        <v>74</v>
      </c>
    </row>
    <row r="61" spans="1:7">
      <c r="A61" s="3" t="s">
        <v>158</v>
      </c>
      <c r="B61" s="2" t="s">
        <v>168</v>
      </c>
      <c r="C61" s="2" t="s">
        <v>74</v>
      </c>
    </row>
    <row r="62" spans="1:7">
      <c r="A62" s="3" t="s">
        <v>158</v>
      </c>
      <c r="B62" s="2" t="s">
        <v>169</v>
      </c>
      <c r="C62" s="2" t="s">
        <v>74</v>
      </c>
    </row>
    <row r="63" spans="1:7">
      <c r="A63" s="3" t="s">
        <v>158</v>
      </c>
      <c r="B63" s="2" t="s">
        <v>170</v>
      </c>
      <c r="C63" s="2" t="s">
        <v>74</v>
      </c>
    </row>
    <row r="64" spans="1:7">
      <c r="A64" s="3" t="s">
        <v>171</v>
      </c>
      <c r="B64" s="2" t="s">
        <v>172</v>
      </c>
      <c r="C64" s="2" t="s">
        <v>71</v>
      </c>
    </row>
    <row r="65" spans="1:7">
      <c r="A65" s="3" t="s">
        <v>171</v>
      </c>
      <c r="B65" s="2" t="s">
        <v>173</v>
      </c>
      <c r="C65" s="2" t="s">
        <v>74</v>
      </c>
    </row>
    <row r="66" spans="1:7">
      <c r="A66" s="3" t="s">
        <v>171</v>
      </c>
      <c r="B66" s="2" t="s">
        <v>174</v>
      </c>
      <c r="C66" s="2" t="s">
        <v>74</v>
      </c>
    </row>
    <row r="67" spans="1:7">
      <c r="A67" s="3" t="s">
        <v>175</v>
      </c>
      <c r="B67" s="2" t="s">
        <v>176</v>
      </c>
      <c r="C67" s="2" t="s">
        <v>71</v>
      </c>
    </row>
    <row r="68" spans="1:7">
      <c r="A68" s="3" t="s">
        <v>175</v>
      </c>
      <c r="B68" s="2" t="s">
        <v>99</v>
      </c>
      <c r="C68" s="2" t="s">
        <v>71</v>
      </c>
    </row>
    <row r="69" spans="1:7">
      <c r="A69" s="3" t="s">
        <v>175</v>
      </c>
      <c r="B69" s="2" t="s">
        <v>177</v>
      </c>
      <c r="C69" s="2" t="s">
        <v>74</v>
      </c>
    </row>
    <row r="70" spans="1:7">
      <c r="A70" s="3" t="s">
        <v>175</v>
      </c>
      <c r="B70" s="2" t="s">
        <v>178</v>
      </c>
      <c r="C70" s="2" t="s">
        <v>80</v>
      </c>
    </row>
    <row r="71" spans="1:7">
      <c r="A71" s="3" t="s">
        <v>175</v>
      </c>
      <c r="B71" s="2" t="s">
        <v>179</v>
      </c>
      <c r="C71" s="2" t="s">
        <v>80</v>
      </c>
    </row>
    <row r="72" spans="1:7">
      <c r="A72" s="3" t="s">
        <v>175</v>
      </c>
      <c r="B72" s="2" t="s">
        <v>180</v>
      </c>
      <c r="C72" s="2" t="s">
        <v>80</v>
      </c>
    </row>
    <row r="73" spans="1:7">
      <c r="A73" s="3" t="s">
        <v>175</v>
      </c>
      <c r="B73" s="2" t="s">
        <v>181</v>
      </c>
      <c r="C73" s="2" t="s">
        <v>80</v>
      </c>
    </row>
    <row r="74" spans="1:7">
      <c r="A74" s="3" t="s">
        <v>175</v>
      </c>
      <c r="B74" s="2" t="s">
        <v>182</v>
      </c>
      <c r="C74" s="2" t="s">
        <v>71</v>
      </c>
      <c r="G74" s="3" t="s">
        <v>78</v>
      </c>
    </row>
    <row r="75" spans="1:7">
      <c r="A75" s="3" t="s">
        <v>175</v>
      </c>
      <c r="B75" s="2" t="s">
        <v>183</v>
      </c>
      <c r="C75" s="2" t="s">
        <v>74</v>
      </c>
    </row>
    <row r="76" spans="1:7">
      <c r="A76" s="3" t="s">
        <v>175</v>
      </c>
      <c r="B76" s="2" t="s">
        <v>184</v>
      </c>
      <c r="C76" s="2" t="s">
        <v>74</v>
      </c>
    </row>
    <row r="77" spans="1:7">
      <c r="A77" s="3" t="s">
        <v>175</v>
      </c>
      <c r="B77" s="2" t="s">
        <v>185</v>
      </c>
      <c r="C77" s="2" t="s">
        <v>74</v>
      </c>
    </row>
    <row r="78" spans="1:7">
      <c r="A78" s="3" t="s">
        <v>175</v>
      </c>
      <c r="B78" s="2" t="s">
        <v>186</v>
      </c>
      <c r="C78" s="2" t="s">
        <v>101</v>
      </c>
    </row>
    <row r="79" spans="1:7">
      <c r="A79" s="3" t="s">
        <v>175</v>
      </c>
      <c r="B79" s="2" t="s">
        <v>187</v>
      </c>
      <c r="C79" s="2" t="s">
        <v>74</v>
      </c>
    </row>
    <row r="80" spans="1:7">
      <c r="A80" s="3" t="s">
        <v>188</v>
      </c>
      <c r="B80" s="2" t="s">
        <v>189</v>
      </c>
      <c r="C80" s="2" t="s">
        <v>71</v>
      </c>
    </row>
    <row r="81" spans="1:7">
      <c r="A81" s="3" t="s">
        <v>188</v>
      </c>
      <c r="B81" s="2" t="s">
        <v>176</v>
      </c>
      <c r="C81" s="2" t="s">
        <v>71</v>
      </c>
    </row>
    <row r="82" spans="1:7" ht="26">
      <c r="A82" s="3" t="s">
        <v>188</v>
      </c>
      <c r="B82" s="2" t="s">
        <v>190</v>
      </c>
      <c r="C82" s="2" t="s">
        <v>80</v>
      </c>
      <c r="D82" s="3" t="s">
        <v>191</v>
      </c>
    </row>
    <row r="83" spans="1:7">
      <c r="A83" s="3" t="s">
        <v>188</v>
      </c>
      <c r="B83" s="2" t="s">
        <v>192</v>
      </c>
      <c r="C83" s="2" t="s">
        <v>101</v>
      </c>
    </row>
    <row r="84" spans="1:7">
      <c r="A84" s="3" t="s">
        <v>188</v>
      </c>
      <c r="B84" s="2" t="s">
        <v>193</v>
      </c>
      <c r="C84" s="2" t="s">
        <v>101</v>
      </c>
    </row>
    <row r="85" spans="1:7" ht="39">
      <c r="A85" s="3" t="s">
        <v>188</v>
      </c>
      <c r="B85" s="2" t="s">
        <v>194</v>
      </c>
      <c r="C85" s="2" t="s">
        <v>101</v>
      </c>
      <c r="F85" s="3" t="s">
        <v>195</v>
      </c>
    </row>
    <row r="86" spans="1:7">
      <c r="A86" s="3" t="s">
        <v>196</v>
      </c>
      <c r="B86" s="2" t="s">
        <v>197</v>
      </c>
      <c r="C86" s="2" t="s">
        <v>71</v>
      </c>
    </row>
    <row r="87" spans="1:7">
      <c r="A87" s="3" t="s">
        <v>196</v>
      </c>
      <c r="B87" s="2" t="s">
        <v>99</v>
      </c>
      <c r="C87" s="2" t="s">
        <v>71</v>
      </c>
    </row>
    <row r="88" spans="1:7">
      <c r="A88" s="3" t="s">
        <v>196</v>
      </c>
      <c r="B88" s="2" t="s">
        <v>198</v>
      </c>
      <c r="C88" s="2" t="s">
        <v>80</v>
      </c>
    </row>
    <row r="89" spans="1:7">
      <c r="A89" s="3" t="s">
        <v>196</v>
      </c>
      <c r="B89" s="2" t="s">
        <v>199</v>
      </c>
      <c r="C89" s="2" t="s">
        <v>101</v>
      </c>
    </row>
    <row r="90" spans="1:7">
      <c r="A90" s="3" t="s">
        <v>196</v>
      </c>
      <c r="B90" s="2" t="s">
        <v>200</v>
      </c>
      <c r="C90" s="2" t="s">
        <v>74</v>
      </c>
    </row>
    <row r="91" spans="1:7">
      <c r="A91" s="3" t="s">
        <v>201</v>
      </c>
      <c r="B91" s="2" t="s">
        <v>202</v>
      </c>
      <c r="C91" s="2" t="s">
        <v>71</v>
      </c>
    </row>
    <row r="92" spans="1:7">
      <c r="A92" s="3" t="s">
        <v>201</v>
      </c>
      <c r="B92" s="2" t="s">
        <v>99</v>
      </c>
      <c r="C92" s="2" t="s">
        <v>71</v>
      </c>
    </row>
    <row r="93" spans="1:7">
      <c r="A93" s="3" t="s">
        <v>201</v>
      </c>
      <c r="B93" s="2" t="s">
        <v>203</v>
      </c>
      <c r="C93" s="2" t="s">
        <v>71</v>
      </c>
      <c r="G93" s="3" t="s">
        <v>78</v>
      </c>
    </row>
    <row r="94" spans="1:7">
      <c r="A94" s="3" t="s">
        <v>201</v>
      </c>
      <c r="B94" s="2" t="s">
        <v>204</v>
      </c>
      <c r="C94" s="2" t="s">
        <v>101</v>
      </c>
    </row>
    <row r="95" spans="1:7">
      <c r="A95" s="3" t="s">
        <v>201</v>
      </c>
      <c r="B95" s="2" t="s">
        <v>205</v>
      </c>
      <c r="C95" s="2" t="s">
        <v>80</v>
      </c>
    </row>
    <row r="96" spans="1:7">
      <c r="A96" s="3" t="s">
        <v>201</v>
      </c>
      <c r="B96" s="2" t="s">
        <v>206</v>
      </c>
      <c r="C96" s="2" t="s">
        <v>80</v>
      </c>
    </row>
    <row r="97" spans="1:4">
      <c r="A97" s="3" t="s">
        <v>207</v>
      </c>
      <c r="B97" s="2" t="s">
        <v>208</v>
      </c>
      <c r="C97" s="2" t="s">
        <v>71</v>
      </c>
    </row>
    <row r="98" spans="1:4">
      <c r="A98" s="3" t="s">
        <v>207</v>
      </c>
      <c r="B98" s="2" t="s">
        <v>176</v>
      </c>
      <c r="C98" s="2" t="s">
        <v>71</v>
      </c>
    </row>
    <row r="99" spans="1:4">
      <c r="A99" s="3" t="s">
        <v>207</v>
      </c>
      <c r="B99" s="2" t="s">
        <v>209</v>
      </c>
      <c r="C99" s="2" t="s">
        <v>80</v>
      </c>
    </row>
    <row r="100" spans="1:4">
      <c r="A100" s="3" t="s">
        <v>207</v>
      </c>
      <c r="B100" s="2" t="s">
        <v>210</v>
      </c>
      <c r="C100" s="2" t="s">
        <v>74</v>
      </c>
    </row>
    <row r="101" spans="1:4">
      <c r="A101" s="3" t="s">
        <v>207</v>
      </c>
      <c r="B101" s="2" t="s">
        <v>211</v>
      </c>
      <c r="C101" s="2" t="s">
        <v>74</v>
      </c>
    </row>
    <row r="102" spans="1:4">
      <c r="A102" s="3" t="s">
        <v>207</v>
      </c>
      <c r="B102" s="2" t="s">
        <v>212</v>
      </c>
      <c r="C102" s="2" t="s">
        <v>74</v>
      </c>
    </row>
    <row r="103" spans="1:4">
      <c r="A103" s="3" t="s">
        <v>207</v>
      </c>
      <c r="B103" s="2" t="s">
        <v>213</v>
      </c>
      <c r="C103" s="2" t="s">
        <v>74</v>
      </c>
    </row>
    <row r="104" spans="1:4">
      <c r="A104" s="3" t="s">
        <v>207</v>
      </c>
      <c r="B104" s="2" t="s">
        <v>214</v>
      </c>
      <c r="C104" s="2" t="s">
        <v>74</v>
      </c>
    </row>
    <row r="105" spans="1:4">
      <c r="A105" s="3" t="s">
        <v>207</v>
      </c>
      <c r="B105" s="2" t="s">
        <v>215</v>
      </c>
      <c r="C105" s="2" t="s">
        <v>74</v>
      </c>
    </row>
    <row r="106" spans="1:4">
      <c r="A106" s="3" t="s">
        <v>207</v>
      </c>
      <c r="B106" s="2" t="s">
        <v>216</v>
      </c>
      <c r="C106" s="2" t="s">
        <v>74</v>
      </c>
    </row>
    <row r="107" spans="1:4">
      <c r="A107" s="3" t="s">
        <v>207</v>
      </c>
      <c r="B107" s="2" t="s">
        <v>217</v>
      </c>
      <c r="C107" s="2" t="s">
        <v>74</v>
      </c>
    </row>
    <row r="108" spans="1:4" ht="26">
      <c r="A108" s="3" t="s">
        <v>207</v>
      </c>
      <c r="B108" s="2" t="s">
        <v>218</v>
      </c>
      <c r="C108" s="2" t="s">
        <v>74</v>
      </c>
      <c r="D108" s="3" t="s">
        <v>219</v>
      </c>
    </row>
    <row r="109" spans="1:4">
      <c r="A109" s="3" t="s">
        <v>207</v>
      </c>
      <c r="B109" s="2" t="s">
        <v>220</v>
      </c>
      <c r="C109" s="2" t="s">
        <v>74</v>
      </c>
      <c r="D109" s="3" t="s">
        <v>221</v>
      </c>
    </row>
    <row r="110" spans="1:4">
      <c r="A110" s="3" t="s">
        <v>207</v>
      </c>
      <c r="B110" s="2" t="s">
        <v>222</v>
      </c>
      <c r="C110" s="2" t="s">
        <v>74</v>
      </c>
      <c r="D110" s="3" t="s">
        <v>223</v>
      </c>
    </row>
    <row r="111" spans="1:4">
      <c r="A111" s="3" t="s">
        <v>207</v>
      </c>
      <c r="B111" s="2" t="s">
        <v>224</v>
      </c>
      <c r="C111" s="2" t="s">
        <v>74</v>
      </c>
    </row>
    <row r="112" spans="1:4">
      <c r="A112" s="3" t="s">
        <v>225</v>
      </c>
      <c r="B112" s="2" t="s">
        <v>226</v>
      </c>
      <c r="C112" s="2" t="s">
        <v>71</v>
      </c>
    </row>
    <row r="113" spans="1:7">
      <c r="A113" s="3" t="s">
        <v>225</v>
      </c>
      <c r="B113" s="2" t="s">
        <v>99</v>
      </c>
      <c r="C113" s="2" t="s">
        <v>71</v>
      </c>
    </row>
    <row r="114" spans="1:7">
      <c r="A114" s="3" t="s">
        <v>225</v>
      </c>
      <c r="B114" s="2" t="s">
        <v>227</v>
      </c>
      <c r="C114" s="2" t="s">
        <v>71</v>
      </c>
      <c r="G114" s="3" t="s">
        <v>78</v>
      </c>
    </row>
    <row r="115" spans="1:7">
      <c r="A115" s="3" t="s">
        <v>225</v>
      </c>
      <c r="B115" s="2" t="s">
        <v>228</v>
      </c>
      <c r="C115" s="2" t="s">
        <v>101</v>
      </c>
    </row>
    <row r="116" spans="1:7">
      <c r="A116" s="3" t="s">
        <v>225</v>
      </c>
      <c r="B116" s="2" t="s">
        <v>229</v>
      </c>
      <c r="C116" s="2" t="s">
        <v>101</v>
      </c>
    </row>
    <row r="117" spans="1:7">
      <c r="A117" s="3" t="s">
        <v>225</v>
      </c>
      <c r="B117" s="2" t="s">
        <v>230</v>
      </c>
      <c r="C117" s="2" t="s">
        <v>80</v>
      </c>
    </row>
    <row r="118" spans="1:7">
      <c r="A118" s="3" t="s">
        <v>225</v>
      </c>
      <c r="B118" s="2" t="s">
        <v>231</v>
      </c>
      <c r="C118" s="2" t="s">
        <v>80</v>
      </c>
    </row>
    <row r="119" spans="1:7">
      <c r="A119" s="3" t="s">
        <v>225</v>
      </c>
      <c r="B119" s="2" t="s">
        <v>232</v>
      </c>
      <c r="C119" s="2" t="s">
        <v>101</v>
      </c>
    </row>
    <row r="120" spans="1:7">
      <c r="A120" s="3" t="s">
        <v>233</v>
      </c>
      <c r="B120" s="2" t="s">
        <v>234</v>
      </c>
      <c r="C120" s="2" t="s">
        <v>71</v>
      </c>
    </row>
    <row r="121" spans="1:7">
      <c r="A121" s="3" t="s">
        <v>233</v>
      </c>
      <c r="B121" s="2" t="s">
        <v>99</v>
      </c>
      <c r="C121" s="2" t="s">
        <v>71</v>
      </c>
    </row>
    <row r="122" spans="1:7">
      <c r="A122" s="3" t="s">
        <v>233</v>
      </c>
      <c r="B122" s="2" t="s">
        <v>235</v>
      </c>
      <c r="C122" s="2" t="s">
        <v>74</v>
      </c>
    </row>
    <row r="123" spans="1:7">
      <c r="A123" s="3" t="s">
        <v>233</v>
      </c>
      <c r="B123" s="2" t="s">
        <v>236</v>
      </c>
      <c r="C123" s="2" t="s">
        <v>74</v>
      </c>
    </row>
    <row r="124" spans="1:7">
      <c r="A124" s="3" t="s">
        <v>233</v>
      </c>
      <c r="B124" s="2" t="s">
        <v>237</v>
      </c>
      <c r="C124" s="2" t="s">
        <v>74</v>
      </c>
    </row>
    <row r="125" spans="1:7">
      <c r="A125" s="3" t="s">
        <v>233</v>
      </c>
      <c r="B125" s="2" t="s">
        <v>238</v>
      </c>
      <c r="C125" s="2" t="s">
        <v>74</v>
      </c>
    </row>
    <row r="126" spans="1:7">
      <c r="A126" s="3" t="s">
        <v>239</v>
      </c>
      <c r="B126" s="2" t="s">
        <v>240</v>
      </c>
      <c r="C126" s="2" t="s">
        <v>71</v>
      </c>
    </row>
    <row r="127" spans="1:7">
      <c r="A127" s="3" t="s">
        <v>239</v>
      </c>
      <c r="B127" s="2" t="s">
        <v>99</v>
      </c>
      <c r="C127" s="2" t="s">
        <v>71</v>
      </c>
    </row>
    <row r="128" spans="1:7" ht="26">
      <c r="A128" s="3" t="s">
        <v>239</v>
      </c>
      <c r="B128" s="2" t="s">
        <v>241</v>
      </c>
      <c r="C128" s="2" t="s">
        <v>71</v>
      </c>
      <c r="D128" s="3" t="s">
        <v>242</v>
      </c>
    </row>
    <row r="129" spans="1:5">
      <c r="A129" s="3" t="s">
        <v>239</v>
      </c>
      <c r="B129" s="2" t="s">
        <v>243</v>
      </c>
      <c r="C129" s="2" t="s">
        <v>74</v>
      </c>
      <c r="D129" s="3" t="s">
        <v>244</v>
      </c>
    </row>
    <row r="130" spans="1:5">
      <c r="A130" s="3" t="s">
        <v>239</v>
      </c>
      <c r="B130" s="2" t="s">
        <v>245</v>
      </c>
      <c r="C130" s="2" t="s">
        <v>74</v>
      </c>
      <c r="D130" s="3" t="s">
        <v>246</v>
      </c>
    </row>
    <row r="131" spans="1:5">
      <c r="A131" s="3" t="s">
        <v>239</v>
      </c>
      <c r="B131" s="2" t="s">
        <v>247</v>
      </c>
      <c r="C131" s="2" t="s">
        <v>74</v>
      </c>
      <c r="D131" s="3" t="s">
        <v>248</v>
      </c>
    </row>
    <row r="132" spans="1:5">
      <c r="A132" s="3" t="s">
        <v>239</v>
      </c>
      <c r="B132" s="2" t="s">
        <v>249</v>
      </c>
      <c r="C132" s="2" t="s">
        <v>74</v>
      </c>
      <c r="D132" s="3" t="s">
        <v>250</v>
      </c>
    </row>
    <row r="133" spans="1:5">
      <c r="A133" s="3" t="s">
        <v>239</v>
      </c>
      <c r="B133" s="2" t="s">
        <v>251</v>
      </c>
      <c r="C133" s="2" t="s">
        <v>74</v>
      </c>
      <c r="D133" s="3" t="s">
        <v>252</v>
      </c>
    </row>
    <row r="134" spans="1:5">
      <c r="A134" s="3" t="s">
        <v>239</v>
      </c>
      <c r="B134" s="2" t="s">
        <v>253</v>
      </c>
      <c r="C134" s="2" t="s">
        <v>74</v>
      </c>
      <c r="D134" s="3" t="s">
        <v>254</v>
      </c>
    </row>
    <row r="135" spans="1:5">
      <c r="A135" s="3" t="s">
        <v>239</v>
      </c>
      <c r="B135" s="2" t="s">
        <v>255</v>
      </c>
      <c r="C135" s="2" t="s">
        <v>74</v>
      </c>
      <c r="D135" s="3" t="s">
        <v>256</v>
      </c>
    </row>
    <row r="136" spans="1:5" ht="52">
      <c r="A136" s="3" t="s">
        <v>239</v>
      </c>
      <c r="B136" s="2" t="s">
        <v>257</v>
      </c>
      <c r="C136" s="2" t="s">
        <v>74</v>
      </c>
      <c r="D136" s="3" t="s">
        <v>258</v>
      </c>
    </row>
    <row r="137" spans="1:5">
      <c r="A137" s="3" t="s">
        <v>239</v>
      </c>
      <c r="B137" s="2" t="s">
        <v>259</v>
      </c>
      <c r="C137" s="2" t="s">
        <v>74</v>
      </c>
      <c r="D137" s="3" t="s">
        <v>260</v>
      </c>
    </row>
    <row r="138" spans="1:5">
      <c r="A138" s="3" t="s">
        <v>261</v>
      </c>
      <c r="B138" s="2" t="s">
        <v>262</v>
      </c>
      <c r="C138" s="2" t="s">
        <v>71</v>
      </c>
    </row>
    <row r="139" spans="1:5">
      <c r="A139" s="3" t="s">
        <v>261</v>
      </c>
      <c r="B139" s="2" t="s">
        <v>176</v>
      </c>
      <c r="C139" s="2" t="s">
        <v>71</v>
      </c>
    </row>
    <row r="140" spans="1:5">
      <c r="A140" s="3" t="s">
        <v>261</v>
      </c>
      <c r="B140" s="2" t="s">
        <v>263</v>
      </c>
      <c r="C140" s="2" t="s">
        <v>74</v>
      </c>
    </row>
    <row r="141" spans="1:5">
      <c r="A141" s="3" t="s">
        <v>261</v>
      </c>
      <c r="B141" s="2" t="s">
        <v>264</v>
      </c>
      <c r="C141" s="2" t="s">
        <v>74</v>
      </c>
    </row>
    <row r="142" spans="1:5">
      <c r="A142" s="3" t="s">
        <v>261</v>
      </c>
      <c r="B142" s="2" t="s">
        <v>265</v>
      </c>
      <c r="C142" s="2" t="s">
        <v>74</v>
      </c>
    </row>
    <row r="143" spans="1:5">
      <c r="A143" s="3" t="s">
        <v>261</v>
      </c>
      <c r="B143" s="2" t="s">
        <v>266</v>
      </c>
      <c r="C143" s="2" t="s">
        <v>74</v>
      </c>
      <c r="E143" s="3" t="s">
        <v>267</v>
      </c>
    </row>
    <row r="144" spans="1:5">
      <c r="A144" s="3" t="s">
        <v>261</v>
      </c>
      <c r="B144" s="2" t="s">
        <v>268</v>
      </c>
      <c r="C144" s="2" t="s">
        <v>74</v>
      </c>
      <c r="E144" s="3" t="s">
        <v>269</v>
      </c>
    </row>
    <row r="145" spans="1:7">
      <c r="A145" s="3" t="s">
        <v>261</v>
      </c>
      <c r="B145" s="2" t="s">
        <v>270</v>
      </c>
      <c r="C145" s="2" t="s">
        <v>74</v>
      </c>
      <c r="E145" s="3" t="s">
        <v>271</v>
      </c>
    </row>
    <row r="146" spans="1:7">
      <c r="A146" s="3" t="s">
        <v>261</v>
      </c>
      <c r="B146" s="2" t="s">
        <v>272</v>
      </c>
      <c r="C146" s="2" t="s">
        <v>80</v>
      </c>
    </row>
    <row r="147" spans="1:7">
      <c r="A147" s="3" t="s">
        <v>261</v>
      </c>
      <c r="B147" s="2" t="s">
        <v>273</v>
      </c>
      <c r="C147" s="2" t="s">
        <v>80</v>
      </c>
    </row>
    <row r="148" spans="1:7">
      <c r="A148" s="3" t="s">
        <v>261</v>
      </c>
      <c r="B148" s="2" t="s">
        <v>274</v>
      </c>
      <c r="C148" s="2" t="s">
        <v>74</v>
      </c>
      <c r="D148" s="3" t="s">
        <v>275</v>
      </c>
      <c r="F148" s="3" t="s">
        <v>94</v>
      </c>
    </row>
    <row r="149" spans="1:7">
      <c r="A149" s="3" t="s">
        <v>276</v>
      </c>
      <c r="B149" s="2" t="s">
        <v>277</v>
      </c>
      <c r="C149" s="2" t="s">
        <v>71</v>
      </c>
    </row>
    <row r="150" spans="1:7">
      <c r="A150" s="3" t="s">
        <v>276</v>
      </c>
      <c r="B150" s="2" t="s">
        <v>278</v>
      </c>
      <c r="C150" s="2" t="s">
        <v>74</v>
      </c>
    </row>
    <row r="151" spans="1:7">
      <c r="A151" s="3" t="s">
        <v>276</v>
      </c>
      <c r="B151" s="2" t="s">
        <v>279</v>
      </c>
      <c r="C151" s="2" t="s">
        <v>74</v>
      </c>
    </row>
    <row r="152" spans="1:7">
      <c r="A152" s="3" t="s">
        <v>276</v>
      </c>
      <c r="B152" s="2" t="s">
        <v>280</v>
      </c>
      <c r="C152" s="2" t="s">
        <v>74</v>
      </c>
    </row>
    <row r="153" spans="1:7">
      <c r="A153" s="3" t="s">
        <v>276</v>
      </c>
      <c r="B153" s="2" t="s">
        <v>281</v>
      </c>
      <c r="C153" s="2" t="s">
        <v>74</v>
      </c>
    </row>
    <row r="154" spans="1:7">
      <c r="A154" s="3" t="s">
        <v>282</v>
      </c>
      <c r="B154" s="2" t="s">
        <v>283</v>
      </c>
      <c r="C154" s="2" t="s">
        <v>71</v>
      </c>
    </row>
    <row r="155" spans="1:7">
      <c r="A155" s="3" t="s">
        <v>282</v>
      </c>
      <c r="B155" s="2" t="s">
        <v>284</v>
      </c>
      <c r="C155" s="2" t="s">
        <v>80</v>
      </c>
    </row>
    <row r="156" spans="1:7" ht="26">
      <c r="A156" s="3" t="s">
        <v>282</v>
      </c>
      <c r="B156" s="2" t="s">
        <v>285</v>
      </c>
      <c r="C156" s="2" t="s">
        <v>71</v>
      </c>
      <c r="E156" s="3" t="s">
        <v>286</v>
      </c>
      <c r="G156" s="3" t="s">
        <v>78</v>
      </c>
    </row>
    <row r="157" spans="1:7">
      <c r="A157" s="3" t="s">
        <v>282</v>
      </c>
      <c r="B157" s="2" t="s">
        <v>287</v>
      </c>
      <c r="C157" s="2" t="s">
        <v>80</v>
      </c>
      <c r="D157" s="3" t="s">
        <v>288</v>
      </c>
    </row>
    <row r="158" spans="1:7">
      <c r="A158" s="3" t="s">
        <v>282</v>
      </c>
      <c r="B158" s="2" t="s">
        <v>289</v>
      </c>
      <c r="C158" s="2" t="s">
        <v>80</v>
      </c>
      <c r="D158" s="3" t="s">
        <v>290</v>
      </c>
    </row>
    <row r="159" spans="1:7">
      <c r="A159" s="3" t="s">
        <v>282</v>
      </c>
      <c r="B159" s="2" t="s">
        <v>291</v>
      </c>
      <c r="C159" s="2" t="s">
        <v>80</v>
      </c>
      <c r="D159" s="3" t="s">
        <v>292</v>
      </c>
    </row>
    <row r="160" spans="1:7">
      <c r="A160" s="3" t="s">
        <v>282</v>
      </c>
      <c r="B160" s="2" t="s">
        <v>293</v>
      </c>
      <c r="C160" s="2" t="s">
        <v>80</v>
      </c>
      <c r="D160" s="3" t="s">
        <v>294</v>
      </c>
    </row>
    <row r="161" spans="1:6">
      <c r="A161" s="3" t="s">
        <v>282</v>
      </c>
      <c r="B161" s="2" t="s">
        <v>295</v>
      </c>
      <c r="C161" s="2" t="s">
        <v>74</v>
      </c>
      <c r="D161" s="3" t="s">
        <v>296</v>
      </c>
      <c r="E161" s="3" t="s">
        <v>297</v>
      </c>
    </row>
    <row r="162" spans="1:6">
      <c r="A162" s="3" t="s">
        <v>282</v>
      </c>
      <c r="B162" s="2" t="s">
        <v>298</v>
      </c>
      <c r="C162" s="2" t="s">
        <v>74</v>
      </c>
      <c r="D162" s="3" t="s">
        <v>299</v>
      </c>
      <c r="E162" s="3" t="s">
        <v>297</v>
      </c>
    </row>
    <row r="163" spans="1:6">
      <c r="A163" s="3" t="s">
        <v>282</v>
      </c>
      <c r="B163" s="2" t="s">
        <v>300</v>
      </c>
      <c r="C163" s="2" t="s">
        <v>74</v>
      </c>
      <c r="D163" s="3" t="s">
        <v>301</v>
      </c>
      <c r="E163" s="3" t="s">
        <v>297</v>
      </c>
    </row>
    <row r="164" spans="1:6">
      <c r="A164" s="3" t="s">
        <v>282</v>
      </c>
      <c r="B164" s="2" t="s">
        <v>302</v>
      </c>
      <c r="C164" s="2" t="s">
        <v>74</v>
      </c>
      <c r="D164" s="3" t="s">
        <v>303</v>
      </c>
      <c r="E164" s="3" t="s">
        <v>297</v>
      </c>
    </row>
    <row r="165" spans="1:6">
      <c r="A165" s="3" t="s">
        <v>282</v>
      </c>
      <c r="B165" s="2" t="s">
        <v>277</v>
      </c>
      <c r="C165" s="2" t="s">
        <v>71</v>
      </c>
    </row>
    <row r="166" spans="1:6" ht="13.5" customHeight="1">
      <c r="A166" s="3" t="s">
        <v>282</v>
      </c>
      <c r="B166" s="2" t="s">
        <v>99</v>
      </c>
      <c r="C166" s="2" t="s">
        <v>71</v>
      </c>
    </row>
    <row r="167" spans="1:6" ht="13.5" customHeight="1">
      <c r="A167" s="3" t="s">
        <v>282</v>
      </c>
      <c r="B167" s="2" t="s">
        <v>75</v>
      </c>
      <c r="C167" s="2" t="s">
        <v>71</v>
      </c>
      <c r="F167" s="3" t="s">
        <v>304</v>
      </c>
    </row>
    <row r="168" spans="1:6">
      <c r="A168" s="3" t="s">
        <v>282</v>
      </c>
      <c r="B168" s="2" t="s">
        <v>305</v>
      </c>
      <c r="C168" s="2" t="s">
        <v>74</v>
      </c>
      <c r="D168" s="3" t="s">
        <v>306</v>
      </c>
      <c r="F168" s="3" t="s">
        <v>307</v>
      </c>
    </row>
    <row r="169" spans="1:6">
      <c r="A169" s="3" t="s">
        <v>308</v>
      </c>
      <c r="B169" s="2" t="s">
        <v>277</v>
      </c>
      <c r="C169" s="2" t="s">
        <v>71</v>
      </c>
      <c r="F169" s="3" t="s">
        <v>307</v>
      </c>
    </row>
    <row r="170" spans="1:6">
      <c r="A170" s="3" t="s">
        <v>308</v>
      </c>
      <c r="B170" s="2" t="s">
        <v>99</v>
      </c>
      <c r="C170" s="2" t="s">
        <v>71</v>
      </c>
      <c r="F170" s="3" t="s">
        <v>307</v>
      </c>
    </row>
    <row r="171" spans="1:6">
      <c r="A171" s="3" t="s">
        <v>308</v>
      </c>
      <c r="B171" s="2" t="s">
        <v>309</v>
      </c>
      <c r="C171" s="2" t="s">
        <v>101</v>
      </c>
      <c r="F171" s="3" t="s">
        <v>307</v>
      </c>
    </row>
    <row r="172" spans="1:6">
      <c r="A172" s="3" t="s">
        <v>308</v>
      </c>
      <c r="B172" s="2" t="s">
        <v>310</v>
      </c>
      <c r="C172" s="2" t="s">
        <v>101</v>
      </c>
      <c r="F172" s="3" t="s">
        <v>307</v>
      </c>
    </row>
    <row r="173" spans="1:6" ht="27" customHeight="1">
      <c r="A173" s="3" t="s">
        <v>308</v>
      </c>
      <c r="B173" s="2" t="s">
        <v>274</v>
      </c>
      <c r="C173" s="2" t="s">
        <v>101</v>
      </c>
      <c r="F173" s="3" t="s">
        <v>307</v>
      </c>
    </row>
    <row r="174" spans="1:6">
      <c r="B174" s="2" t="s">
        <v>311</v>
      </c>
    </row>
  </sheetData>
  <dataValidations count="1">
    <dataValidation type="list" allowBlank="1" showInputMessage="1" showErrorMessage="1" sqref="D128:D137 C2:C1048576" xr:uid="{089B80EA-C3AB-4495-B929-71B569056E84}">
      <formula1>"Varchar,Datetime, Decimal, Integer"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62F8-54B9-4A0C-A3B2-5B49ADFAE711}">
  <dimension ref="A1:L78"/>
  <sheetViews>
    <sheetView showGridLines="0" topLeftCell="E1" zoomScale="80" zoomScaleNormal="80" workbookViewId="0">
      <pane ySplit="1" topLeftCell="A41" activePane="bottomLeft" state="frozen"/>
      <selection pane="bottomLeft" activeCell="I41" sqref="I41"/>
    </sheetView>
  </sheetViews>
  <sheetFormatPr defaultColWidth="8.7265625" defaultRowHeight="13"/>
  <cols>
    <col min="1" max="1" width="4.453125" style="1" bestFit="1" customWidth="1"/>
    <col min="2" max="2" width="10.54296875" style="1" hidden="1" customWidth="1"/>
    <col min="3" max="3" width="11.26953125" style="1" bestFit="1" customWidth="1"/>
    <col min="4" max="4" width="11.26953125" style="1" customWidth="1"/>
    <col min="5" max="5" width="20.54296875" style="1" bestFit="1" customWidth="1"/>
    <col min="6" max="6" width="26" style="4" bestFit="1" customWidth="1"/>
    <col min="7" max="7" width="46.1796875" style="4" bestFit="1" customWidth="1"/>
    <col min="8" max="8" width="84.1796875" style="4" bestFit="1" customWidth="1"/>
    <col min="9" max="9" width="15.453125" style="4" bestFit="1" customWidth="1"/>
    <col min="10" max="10" width="51.54296875" style="13" bestFit="1" customWidth="1"/>
    <col min="11" max="11" width="8.7265625" style="10"/>
    <col min="12" max="12" width="8.7265625" style="10" customWidth="1"/>
    <col min="13" max="13" width="8.7265625" style="1" customWidth="1"/>
    <col min="14" max="16384" width="8.7265625" style="1"/>
  </cols>
  <sheetData>
    <row r="1" spans="1:12">
      <c r="A1" s="5" t="s">
        <v>312</v>
      </c>
      <c r="B1" s="5" t="s">
        <v>313</v>
      </c>
      <c r="C1" s="5" t="s">
        <v>314</v>
      </c>
      <c r="D1" s="5" t="s">
        <v>315</v>
      </c>
      <c r="E1" s="5" t="s">
        <v>316</v>
      </c>
      <c r="F1" s="6" t="s">
        <v>317</v>
      </c>
      <c r="G1" s="6" t="s">
        <v>318</v>
      </c>
      <c r="H1" s="6" t="s">
        <v>2</v>
      </c>
      <c r="I1" s="6" t="s">
        <v>68</v>
      </c>
      <c r="J1" s="6" t="s">
        <v>4</v>
      </c>
    </row>
    <row r="2" spans="1:12" ht="26">
      <c r="A2" s="2">
        <f>ROW(A1)</f>
        <v>1</v>
      </c>
      <c r="B2" s="2"/>
      <c r="C2" s="2" t="s">
        <v>319</v>
      </c>
      <c r="D2" s="2"/>
      <c r="E2" s="2"/>
      <c r="F2" s="12" t="s">
        <v>320</v>
      </c>
      <c r="G2" s="3" t="s">
        <v>321</v>
      </c>
      <c r="H2" s="3" t="s">
        <v>322</v>
      </c>
      <c r="I2" s="3"/>
      <c r="J2" s="3" t="s">
        <v>323</v>
      </c>
    </row>
    <row r="3" spans="1:12">
      <c r="A3" s="2">
        <f>ROW(A2)</f>
        <v>2</v>
      </c>
      <c r="B3" s="2"/>
      <c r="C3" s="2" t="s">
        <v>319</v>
      </c>
      <c r="D3" s="2"/>
      <c r="E3" s="2"/>
      <c r="F3" s="12" t="s">
        <v>324</v>
      </c>
      <c r="G3" s="3" t="s">
        <v>325</v>
      </c>
      <c r="H3" s="3" t="s">
        <v>326</v>
      </c>
      <c r="I3" s="3"/>
      <c r="J3" s="3"/>
    </row>
    <row r="4" spans="1:12">
      <c r="A4" s="2">
        <f>ROW(A3)</f>
        <v>3</v>
      </c>
      <c r="B4" s="2"/>
      <c r="C4" s="2" t="s">
        <v>319</v>
      </c>
      <c r="D4" s="2"/>
      <c r="E4" s="2"/>
      <c r="F4" s="12" t="s">
        <v>327</v>
      </c>
      <c r="G4" s="3" t="s">
        <v>328</v>
      </c>
      <c r="H4" s="3"/>
      <c r="I4" s="3"/>
      <c r="J4" s="3"/>
    </row>
    <row r="5" spans="1:12">
      <c r="A5" s="2">
        <f>ROW(A3)</f>
        <v>3</v>
      </c>
      <c r="B5" s="2"/>
      <c r="C5" s="2" t="s">
        <v>319</v>
      </c>
      <c r="D5" s="2"/>
      <c r="E5" s="2"/>
      <c r="F5" s="12" t="s">
        <v>329</v>
      </c>
      <c r="G5" s="3" t="s">
        <v>330</v>
      </c>
      <c r="H5" s="3" t="s">
        <v>331</v>
      </c>
      <c r="I5" s="3"/>
      <c r="J5" s="3"/>
    </row>
    <row r="6" spans="1:12">
      <c r="A6" s="2">
        <f t="shared" ref="A6:A53" si="0">ROW(A5)</f>
        <v>5</v>
      </c>
      <c r="B6" s="2"/>
      <c r="C6" s="2" t="s">
        <v>319</v>
      </c>
      <c r="D6" s="2"/>
      <c r="E6" s="2"/>
      <c r="F6" s="12" t="s">
        <v>332</v>
      </c>
      <c r="G6" s="3" t="s">
        <v>333</v>
      </c>
      <c r="H6" s="3" t="s">
        <v>334</v>
      </c>
      <c r="I6" s="3"/>
      <c r="J6" s="3"/>
    </row>
    <row r="7" spans="1:12" ht="26">
      <c r="A7" s="2">
        <f t="shared" si="0"/>
        <v>6</v>
      </c>
      <c r="B7" s="2"/>
      <c r="C7" s="2" t="s">
        <v>319</v>
      </c>
      <c r="D7" s="2"/>
      <c r="E7" s="2"/>
      <c r="F7" s="12" t="s">
        <v>335</v>
      </c>
      <c r="G7" s="3" t="s">
        <v>336</v>
      </c>
      <c r="H7" s="3" t="s">
        <v>337</v>
      </c>
      <c r="I7" s="3"/>
      <c r="J7" s="3" t="s">
        <v>338</v>
      </c>
      <c r="K7" s="1"/>
      <c r="L7" s="1"/>
    </row>
    <row r="8" spans="1:12" ht="26">
      <c r="A8" s="2">
        <f t="shared" si="0"/>
        <v>7</v>
      </c>
      <c r="B8" s="2"/>
      <c r="C8" s="2" t="s">
        <v>319</v>
      </c>
      <c r="D8" s="2"/>
      <c r="E8" s="2"/>
      <c r="F8" s="12" t="s">
        <v>339</v>
      </c>
      <c r="G8" s="3" t="s">
        <v>340</v>
      </c>
      <c r="H8" s="3"/>
      <c r="I8" s="3"/>
      <c r="J8" s="3"/>
      <c r="K8" s="1"/>
      <c r="L8" s="1"/>
    </row>
    <row r="9" spans="1:12">
      <c r="A9" s="2">
        <f>ROW(A6)</f>
        <v>6</v>
      </c>
      <c r="B9" s="2"/>
      <c r="C9" s="2" t="s">
        <v>319</v>
      </c>
      <c r="D9" s="2"/>
      <c r="E9" s="2"/>
      <c r="F9" s="3" t="s">
        <v>341</v>
      </c>
      <c r="G9" s="3" t="s">
        <v>342</v>
      </c>
      <c r="H9" s="3" t="s">
        <v>343</v>
      </c>
      <c r="I9" s="3"/>
      <c r="J9" s="3" t="s">
        <v>344</v>
      </c>
    </row>
    <row r="10" spans="1:12">
      <c r="A10" s="2">
        <f t="shared" si="0"/>
        <v>9</v>
      </c>
      <c r="B10" s="2"/>
      <c r="C10" s="2" t="s">
        <v>345</v>
      </c>
      <c r="D10" s="2"/>
      <c r="E10" s="2"/>
      <c r="F10" s="3" t="s">
        <v>346</v>
      </c>
      <c r="G10" s="3" t="s">
        <v>347</v>
      </c>
      <c r="H10" s="3" t="s">
        <v>348</v>
      </c>
      <c r="I10" s="3"/>
      <c r="J10" s="3"/>
      <c r="K10" s="1"/>
      <c r="L10" s="1"/>
    </row>
    <row r="11" spans="1:12">
      <c r="A11" s="2">
        <f t="shared" si="0"/>
        <v>10</v>
      </c>
      <c r="B11" s="2"/>
      <c r="C11" s="2" t="s">
        <v>345</v>
      </c>
      <c r="D11" s="2"/>
      <c r="E11" s="2"/>
      <c r="F11" s="3" t="s">
        <v>349</v>
      </c>
      <c r="G11" s="3" t="s">
        <v>350</v>
      </c>
      <c r="H11" s="3" t="s">
        <v>351</v>
      </c>
      <c r="I11" s="3"/>
      <c r="J11" s="3"/>
      <c r="K11" s="1"/>
      <c r="L11" s="1"/>
    </row>
    <row r="12" spans="1:12">
      <c r="A12" s="2">
        <f t="shared" si="0"/>
        <v>11</v>
      </c>
      <c r="B12" s="2"/>
      <c r="C12" s="2" t="s">
        <v>345</v>
      </c>
      <c r="D12" s="2"/>
      <c r="E12" s="2"/>
      <c r="F12" s="3" t="s">
        <v>352</v>
      </c>
      <c r="G12" s="3" t="s">
        <v>353</v>
      </c>
      <c r="H12" s="3" t="s">
        <v>354</v>
      </c>
      <c r="I12" s="3"/>
      <c r="J12" s="3" t="s">
        <v>344</v>
      </c>
      <c r="K12" s="1"/>
      <c r="L12" s="1"/>
    </row>
    <row r="13" spans="1:12">
      <c r="A13" s="2">
        <f t="shared" si="0"/>
        <v>12</v>
      </c>
      <c r="B13" s="2"/>
      <c r="C13" s="2" t="s">
        <v>345</v>
      </c>
      <c r="D13" s="2"/>
      <c r="E13" s="2"/>
      <c r="F13" s="3" t="s">
        <v>355</v>
      </c>
      <c r="G13" s="3" t="s">
        <v>356</v>
      </c>
      <c r="H13" s="3" t="s">
        <v>357</v>
      </c>
      <c r="I13" s="3"/>
      <c r="J13" s="3" t="s">
        <v>344</v>
      </c>
      <c r="K13" s="1"/>
      <c r="L13" s="1"/>
    </row>
    <row r="14" spans="1:12">
      <c r="A14" s="2">
        <f t="shared" si="0"/>
        <v>13</v>
      </c>
      <c r="B14" s="2"/>
      <c r="C14" s="2" t="s">
        <v>358</v>
      </c>
      <c r="D14" s="2"/>
      <c r="E14" s="2"/>
      <c r="F14" s="3" t="s">
        <v>359</v>
      </c>
      <c r="G14" s="3" t="s">
        <v>360</v>
      </c>
      <c r="H14" s="3" t="s">
        <v>361</v>
      </c>
      <c r="I14" s="3"/>
      <c r="J14" s="3"/>
      <c r="K14" s="1"/>
      <c r="L14" s="1"/>
    </row>
    <row r="15" spans="1:12" ht="26">
      <c r="A15" s="2">
        <f t="shared" si="0"/>
        <v>14</v>
      </c>
      <c r="B15" s="2"/>
      <c r="C15" s="2" t="s">
        <v>358</v>
      </c>
      <c r="D15" s="2"/>
      <c r="E15" s="2"/>
      <c r="F15" s="3" t="s">
        <v>362</v>
      </c>
      <c r="G15" s="3" t="s">
        <v>363</v>
      </c>
      <c r="H15" s="3" t="s">
        <v>364</v>
      </c>
      <c r="I15" s="3"/>
      <c r="J15" s="3"/>
      <c r="K15" s="1"/>
      <c r="L15" s="1"/>
    </row>
    <row r="16" spans="1:12">
      <c r="A16" s="2">
        <f t="shared" si="0"/>
        <v>15</v>
      </c>
      <c r="B16" s="2"/>
      <c r="C16" s="2" t="s">
        <v>358</v>
      </c>
      <c r="D16" s="2"/>
      <c r="E16" s="2"/>
      <c r="F16" s="3" t="s">
        <v>365</v>
      </c>
      <c r="G16" s="3" t="s">
        <v>366</v>
      </c>
      <c r="H16" s="3" t="s">
        <v>367</v>
      </c>
      <c r="I16" s="3"/>
      <c r="J16" s="3" t="s">
        <v>344</v>
      </c>
      <c r="K16" s="1"/>
      <c r="L16" s="1"/>
    </row>
    <row r="17" spans="1:12">
      <c r="A17" s="2">
        <f t="shared" si="0"/>
        <v>16</v>
      </c>
      <c r="B17" s="2"/>
      <c r="C17" s="2" t="s">
        <v>358</v>
      </c>
      <c r="D17" s="2"/>
      <c r="E17" s="2"/>
      <c r="F17" s="3" t="s">
        <v>368</v>
      </c>
      <c r="G17" s="3" t="s">
        <v>369</v>
      </c>
      <c r="H17" s="3" t="s">
        <v>370</v>
      </c>
      <c r="I17" s="3"/>
      <c r="J17" s="3" t="s">
        <v>344</v>
      </c>
      <c r="K17" s="1"/>
      <c r="L17" s="1"/>
    </row>
    <row r="18" spans="1:12">
      <c r="A18" s="2">
        <f t="shared" si="0"/>
        <v>17</v>
      </c>
      <c r="B18" s="2"/>
      <c r="C18" s="2" t="s">
        <v>371</v>
      </c>
      <c r="D18" s="2"/>
      <c r="E18" s="2"/>
      <c r="F18" s="12" t="s">
        <v>372</v>
      </c>
      <c r="G18" s="3" t="s">
        <v>373</v>
      </c>
      <c r="H18" s="3" t="s">
        <v>374</v>
      </c>
      <c r="I18" s="3"/>
      <c r="J18" s="3"/>
      <c r="K18" s="1"/>
      <c r="L18" s="1"/>
    </row>
    <row r="19" spans="1:12">
      <c r="A19" s="2">
        <f t="shared" si="0"/>
        <v>18</v>
      </c>
      <c r="B19" s="2"/>
      <c r="C19" s="2" t="s">
        <v>371</v>
      </c>
      <c r="D19" s="2"/>
      <c r="E19" s="2"/>
      <c r="F19" s="3" t="s">
        <v>375</v>
      </c>
      <c r="G19" s="3" t="s">
        <v>376</v>
      </c>
      <c r="H19" s="3" t="s">
        <v>377</v>
      </c>
      <c r="I19" s="3"/>
      <c r="J19" s="3"/>
      <c r="K19" s="1"/>
      <c r="L19" s="1"/>
    </row>
    <row r="20" spans="1:12">
      <c r="A20" s="2">
        <f t="shared" si="0"/>
        <v>19</v>
      </c>
      <c r="B20" s="2"/>
      <c r="C20" s="2" t="s">
        <v>371</v>
      </c>
      <c r="D20" s="2"/>
      <c r="E20" s="2"/>
      <c r="F20" s="3" t="s">
        <v>378</v>
      </c>
      <c r="G20" s="3" t="s">
        <v>379</v>
      </c>
      <c r="H20" s="3" t="s">
        <v>380</v>
      </c>
      <c r="I20" s="3"/>
      <c r="J20" s="3"/>
      <c r="K20" s="1"/>
      <c r="L20" s="1"/>
    </row>
    <row r="21" spans="1:12">
      <c r="A21" s="2">
        <f t="shared" si="0"/>
        <v>20</v>
      </c>
      <c r="B21" s="2"/>
      <c r="C21" s="2" t="s">
        <v>371</v>
      </c>
      <c r="D21" s="2"/>
      <c r="E21" s="2"/>
      <c r="F21" s="3" t="s">
        <v>381</v>
      </c>
      <c r="G21" s="3" t="s">
        <v>382</v>
      </c>
      <c r="H21" s="3" t="s">
        <v>383</v>
      </c>
      <c r="I21" s="3"/>
      <c r="J21" s="3" t="s">
        <v>344</v>
      </c>
      <c r="K21" s="1"/>
      <c r="L21" s="1"/>
    </row>
    <row r="22" spans="1:12">
      <c r="A22" s="2">
        <f t="shared" si="0"/>
        <v>21</v>
      </c>
      <c r="B22" s="2"/>
      <c r="C22" s="2" t="s">
        <v>384</v>
      </c>
      <c r="D22" s="2"/>
      <c r="E22" s="2"/>
      <c r="F22" s="3" t="s">
        <v>385</v>
      </c>
      <c r="G22" s="3" t="s">
        <v>386</v>
      </c>
      <c r="H22" s="3" t="s">
        <v>387</v>
      </c>
      <c r="I22" s="3"/>
      <c r="J22" s="3" t="s">
        <v>344</v>
      </c>
      <c r="K22" s="1"/>
      <c r="L22" s="1"/>
    </row>
    <row r="23" spans="1:12">
      <c r="A23" s="2">
        <f t="shared" si="0"/>
        <v>22</v>
      </c>
      <c r="B23" s="2"/>
      <c r="C23" s="2" t="s">
        <v>384</v>
      </c>
      <c r="D23" s="2"/>
      <c r="E23" s="2"/>
      <c r="F23" s="12" t="s">
        <v>388</v>
      </c>
      <c r="G23" s="3" t="s">
        <v>389</v>
      </c>
      <c r="H23" s="3" t="s">
        <v>390</v>
      </c>
      <c r="I23" s="3"/>
      <c r="J23" s="3"/>
      <c r="K23" s="1"/>
      <c r="L23" s="1"/>
    </row>
    <row r="24" spans="1:12">
      <c r="A24" s="2">
        <f t="shared" si="0"/>
        <v>23</v>
      </c>
      <c r="B24" s="2"/>
      <c r="C24" s="2" t="s">
        <v>384</v>
      </c>
      <c r="D24" s="2"/>
      <c r="E24" s="2"/>
      <c r="F24" s="12" t="s">
        <v>391</v>
      </c>
      <c r="G24" s="3" t="s">
        <v>392</v>
      </c>
      <c r="H24" s="3" t="s">
        <v>393</v>
      </c>
      <c r="I24" s="3"/>
      <c r="J24" s="3"/>
      <c r="K24" s="1"/>
      <c r="L24" s="1"/>
    </row>
    <row r="25" spans="1:12">
      <c r="A25" s="2">
        <f t="shared" si="0"/>
        <v>24</v>
      </c>
      <c r="B25" s="2"/>
      <c r="C25" s="2" t="s">
        <v>384</v>
      </c>
      <c r="D25" s="2"/>
      <c r="E25" s="2"/>
      <c r="F25" s="3" t="s">
        <v>394</v>
      </c>
      <c r="G25" s="3" t="s">
        <v>395</v>
      </c>
      <c r="H25" s="3" t="s">
        <v>396</v>
      </c>
      <c r="I25" s="3"/>
      <c r="J25" s="3" t="s">
        <v>344</v>
      </c>
      <c r="K25" s="1"/>
      <c r="L25" s="1"/>
    </row>
    <row r="26" spans="1:12">
      <c r="A26" s="2">
        <f t="shared" si="0"/>
        <v>25</v>
      </c>
      <c r="B26" s="2"/>
      <c r="C26" s="2" t="s">
        <v>281</v>
      </c>
      <c r="D26" s="2"/>
      <c r="E26" s="2"/>
      <c r="F26" s="3" t="s">
        <v>397</v>
      </c>
      <c r="G26" s="3" t="s">
        <v>398</v>
      </c>
      <c r="H26" s="3" t="s">
        <v>399</v>
      </c>
      <c r="I26" s="3"/>
      <c r="J26" s="3" t="s">
        <v>344</v>
      </c>
      <c r="K26" s="1"/>
      <c r="L26" s="1"/>
    </row>
    <row r="27" spans="1:12">
      <c r="A27" s="2">
        <f t="shared" si="0"/>
        <v>26</v>
      </c>
      <c r="B27" s="2"/>
      <c r="C27" s="2" t="s">
        <v>281</v>
      </c>
      <c r="D27" s="2"/>
      <c r="E27" s="2"/>
      <c r="F27" s="3" t="s">
        <v>400</v>
      </c>
      <c r="G27" s="3" t="s">
        <v>401</v>
      </c>
      <c r="H27" s="3" t="s">
        <v>402</v>
      </c>
      <c r="I27" s="3"/>
      <c r="J27" s="3" t="s">
        <v>344</v>
      </c>
      <c r="K27" s="1"/>
      <c r="L27" s="1"/>
    </row>
    <row r="28" spans="1:12">
      <c r="A28" s="2">
        <f t="shared" si="0"/>
        <v>27</v>
      </c>
      <c r="B28" s="2"/>
      <c r="C28" s="2" t="s">
        <v>281</v>
      </c>
      <c r="D28" s="2"/>
      <c r="E28" s="2"/>
      <c r="F28" s="3" t="s">
        <v>403</v>
      </c>
      <c r="G28" s="3" t="s">
        <v>404</v>
      </c>
      <c r="H28" s="3" t="s">
        <v>405</v>
      </c>
      <c r="I28" s="3"/>
      <c r="J28" s="3" t="s">
        <v>344</v>
      </c>
      <c r="K28" s="1"/>
      <c r="L28" s="1"/>
    </row>
    <row r="29" spans="1:12" ht="143">
      <c r="A29" s="2">
        <f t="shared" si="0"/>
        <v>28</v>
      </c>
      <c r="B29" s="2"/>
      <c r="C29" s="2"/>
      <c r="D29" s="2"/>
      <c r="E29" s="2"/>
      <c r="F29" s="12" t="s">
        <v>406</v>
      </c>
      <c r="G29" s="3" t="s">
        <v>407</v>
      </c>
      <c r="H29" s="3" t="s">
        <v>408</v>
      </c>
      <c r="I29" s="3"/>
      <c r="J29" s="3"/>
      <c r="K29" s="1"/>
      <c r="L29" s="1"/>
    </row>
    <row r="30" spans="1:12" ht="26">
      <c r="A30" s="2">
        <f t="shared" si="0"/>
        <v>29</v>
      </c>
      <c r="B30" s="2"/>
      <c r="C30" s="2"/>
      <c r="D30" s="2"/>
      <c r="E30" s="2"/>
      <c r="F30" s="12" t="s">
        <v>409</v>
      </c>
      <c r="G30" s="3" t="s">
        <v>410</v>
      </c>
      <c r="H30" s="3" t="s">
        <v>411</v>
      </c>
      <c r="I30" s="3"/>
      <c r="J30" s="3"/>
      <c r="K30" s="1"/>
      <c r="L30" s="1"/>
    </row>
    <row r="31" spans="1:12" ht="26">
      <c r="A31" s="2">
        <f t="shared" si="0"/>
        <v>30</v>
      </c>
      <c r="B31" s="2"/>
      <c r="C31" s="2"/>
      <c r="D31" s="2"/>
      <c r="E31" s="2"/>
      <c r="F31" s="12" t="s">
        <v>412</v>
      </c>
      <c r="G31" s="3" t="s">
        <v>413</v>
      </c>
      <c r="H31" s="3" t="s">
        <v>414</v>
      </c>
      <c r="I31" s="3"/>
      <c r="J31" s="3"/>
      <c r="K31" s="1"/>
      <c r="L31" s="1"/>
    </row>
    <row r="32" spans="1:12">
      <c r="A32" s="2">
        <f t="shared" si="0"/>
        <v>31</v>
      </c>
      <c r="B32" s="2"/>
      <c r="C32" s="2"/>
      <c r="D32" s="2"/>
      <c r="E32" s="2"/>
      <c r="F32" s="12" t="s">
        <v>415</v>
      </c>
      <c r="G32" s="3" t="s">
        <v>416</v>
      </c>
      <c r="H32" s="3" t="s">
        <v>417</v>
      </c>
      <c r="I32" s="3"/>
      <c r="J32" s="3"/>
      <c r="K32" s="1"/>
      <c r="L32" s="1"/>
    </row>
    <row r="33" spans="1:12">
      <c r="A33" s="2">
        <f t="shared" si="0"/>
        <v>32</v>
      </c>
      <c r="B33" s="2"/>
      <c r="C33" s="2"/>
      <c r="D33" s="2"/>
      <c r="E33" s="2"/>
      <c r="F33" s="12" t="s">
        <v>418</v>
      </c>
      <c r="G33" s="3" t="s">
        <v>419</v>
      </c>
      <c r="H33" s="3" t="s">
        <v>420</v>
      </c>
      <c r="I33" s="3"/>
      <c r="J33" s="3"/>
      <c r="K33" s="1"/>
      <c r="L33" s="1"/>
    </row>
    <row r="34" spans="1:12">
      <c r="A34" s="2">
        <f t="shared" si="0"/>
        <v>33</v>
      </c>
      <c r="B34" s="2"/>
      <c r="C34" s="2"/>
      <c r="D34" s="2"/>
      <c r="E34" s="2"/>
      <c r="F34" s="12" t="s">
        <v>421</v>
      </c>
      <c r="G34" s="3" t="s">
        <v>422</v>
      </c>
      <c r="H34" s="3" t="s">
        <v>423</v>
      </c>
      <c r="I34" s="3"/>
      <c r="J34" s="3"/>
      <c r="K34" s="1"/>
      <c r="L34" s="1"/>
    </row>
    <row r="35" spans="1:12" ht="26">
      <c r="A35" s="2">
        <f t="shared" si="0"/>
        <v>34</v>
      </c>
      <c r="B35" s="2"/>
      <c r="C35" s="2"/>
      <c r="D35" s="2"/>
      <c r="E35" s="2"/>
      <c r="F35" s="3" t="s">
        <v>424</v>
      </c>
      <c r="G35" s="3" t="s">
        <v>425</v>
      </c>
      <c r="H35" s="3"/>
      <c r="I35" s="3" t="s">
        <v>426</v>
      </c>
      <c r="J35" s="3"/>
      <c r="K35" s="1"/>
      <c r="L35" s="1"/>
    </row>
    <row r="36" spans="1:12" ht="26">
      <c r="A36" s="2">
        <f t="shared" si="0"/>
        <v>35</v>
      </c>
      <c r="B36" s="2"/>
      <c r="C36" s="2"/>
      <c r="D36" s="2"/>
      <c r="E36" s="2"/>
      <c r="F36" s="3" t="s">
        <v>427</v>
      </c>
      <c r="G36" s="3" t="s">
        <v>428</v>
      </c>
      <c r="H36" s="3"/>
      <c r="I36" s="3" t="s">
        <v>426</v>
      </c>
      <c r="J36" s="3"/>
      <c r="K36" s="1"/>
      <c r="L36" s="1"/>
    </row>
    <row r="37" spans="1:12" ht="26">
      <c r="A37" s="2">
        <f t="shared" si="0"/>
        <v>36</v>
      </c>
      <c r="B37" s="2"/>
      <c r="C37" s="2"/>
      <c r="D37" s="2"/>
      <c r="E37" s="2"/>
      <c r="F37" s="3" t="s">
        <v>429</v>
      </c>
      <c r="G37" s="3" t="s">
        <v>430</v>
      </c>
      <c r="H37" s="3"/>
      <c r="I37" s="3" t="s">
        <v>426</v>
      </c>
      <c r="J37" s="3"/>
      <c r="K37" s="1"/>
      <c r="L37" s="1"/>
    </row>
    <row r="38" spans="1:12" ht="26">
      <c r="A38" s="2">
        <f t="shared" si="0"/>
        <v>37</v>
      </c>
      <c r="B38" s="2"/>
      <c r="C38" s="2"/>
      <c r="D38" s="2"/>
      <c r="E38" s="2"/>
      <c r="F38" s="3" t="s">
        <v>431</v>
      </c>
      <c r="G38" s="3" t="s">
        <v>432</v>
      </c>
      <c r="H38" s="3"/>
      <c r="I38" s="3" t="s">
        <v>426</v>
      </c>
      <c r="J38" s="3"/>
      <c r="K38" s="1"/>
      <c r="L38" s="1"/>
    </row>
    <row r="39" spans="1:12" s="51" customFormat="1" ht="26">
      <c r="A39" s="49">
        <f t="shared" si="0"/>
        <v>38</v>
      </c>
      <c r="B39" s="49"/>
      <c r="C39" s="49"/>
      <c r="D39" s="49"/>
      <c r="E39" s="49"/>
      <c r="F39" s="50" t="s">
        <v>433</v>
      </c>
      <c r="G39" s="50" t="s">
        <v>434</v>
      </c>
      <c r="H39" s="50"/>
      <c r="I39" s="50" t="s">
        <v>426</v>
      </c>
      <c r="J39" s="50"/>
    </row>
    <row r="40" spans="1:12" ht="26">
      <c r="A40" s="2">
        <f t="shared" si="0"/>
        <v>39</v>
      </c>
      <c r="B40" s="2"/>
      <c r="C40" s="2"/>
      <c r="D40" s="2"/>
      <c r="E40" s="2"/>
      <c r="F40" s="3" t="s">
        <v>435</v>
      </c>
      <c r="G40" s="3" t="s">
        <v>436</v>
      </c>
      <c r="H40" s="3"/>
      <c r="I40" s="3" t="s">
        <v>426</v>
      </c>
      <c r="J40" s="3"/>
      <c r="K40" s="1"/>
      <c r="L40" s="1"/>
    </row>
    <row r="41" spans="1:12" s="52" customFormat="1" ht="26">
      <c r="A41" s="11">
        <f t="shared" si="0"/>
        <v>40</v>
      </c>
      <c r="B41" s="11"/>
      <c r="C41" s="11"/>
      <c r="D41" s="11"/>
      <c r="E41" s="11"/>
      <c r="F41" s="12" t="s">
        <v>437</v>
      </c>
      <c r="G41" s="12" t="s">
        <v>438</v>
      </c>
      <c r="H41" s="12"/>
      <c r="I41" s="12" t="s">
        <v>426</v>
      </c>
      <c r="J41" s="12"/>
    </row>
    <row r="42" spans="1:12" s="52" customFormat="1" ht="26">
      <c r="A42" s="11">
        <f t="shared" si="0"/>
        <v>41</v>
      </c>
      <c r="B42" s="11"/>
      <c r="C42" s="11"/>
      <c r="D42" s="11"/>
      <c r="E42" s="11"/>
      <c r="F42" s="12" t="s">
        <v>439</v>
      </c>
      <c r="G42" s="12" t="s">
        <v>440</v>
      </c>
      <c r="H42" s="12"/>
      <c r="I42" s="12" t="s">
        <v>426</v>
      </c>
      <c r="J42" s="12"/>
    </row>
    <row r="43" spans="1:12" ht="26">
      <c r="A43" s="2">
        <f t="shared" si="0"/>
        <v>42</v>
      </c>
      <c r="B43" s="2"/>
      <c r="C43" s="2"/>
      <c r="D43" s="2"/>
      <c r="E43" s="2"/>
      <c r="F43" s="3" t="s">
        <v>441</v>
      </c>
      <c r="G43" s="3" t="s">
        <v>442</v>
      </c>
      <c r="H43" s="3"/>
      <c r="I43" s="3" t="s">
        <v>426</v>
      </c>
      <c r="J43" s="3"/>
      <c r="K43" s="1"/>
      <c r="L43" s="1"/>
    </row>
    <row r="44" spans="1:12" ht="26">
      <c r="A44" s="2">
        <f t="shared" si="0"/>
        <v>43</v>
      </c>
      <c r="B44" s="2"/>
      <c r="C44" s="2"/>
      <c r="D44" s="2"/>
      <c r="E44" s="2"/>
      <c r="F44" s="3" t="s">
        <v>443</v>
      </c>
      <c r="G44" s="3" t="s">
        <v>444</v>
      </c>
      <c r="H44" s="3"/>
      <c r="I44" s="3" t="s">
        <v>426</v>
      </c>
      <c r="J44" s="3"/>
      <c r="K44" s="1"/>
      <c r="L44" s="1"/>
    </row>
    <row r="45" spans="1:12" s="52" customFormat="1" ht="26">
      <c r="A45" s="11">
        <f t="shared" si="0"/>
        <v>44</v>
      </c>
      <c r="B45" s="11"/>
      <c r="C45" s="11"/>
      <c r="D45" s="11"/>
      <c r="E45" s="11"/>
      <c r="F45" s="12" t="s">
        <v>445</v>
      </c>
      <c r="G45" s="12" t="s">
        <v>446</v>
      </c>
      <c r="H45" s="12"/>
      <c r="I45" s="12" t="s">
        <v>426</v>
      </c>
      <c r="J45" s="12"/>
    </row>
    <row r="46" spans="1:12" ht="26">
      <c r="A46" s="2">
        <f t="shared" si="0"/>
        <v>45</v>
      </c>
      <c r="B46" s="2"/>
      <c r="C46" s="2"/>
      <c r="D46" s="2"/>
      <c r="E46" s="2"/>
      <c r="F46" s="3" t="s">
        <v>447</v>
      </c>
      <c r="G46" s="3" t="s">
        <v>448</v>
      </c>
      <c r="H46" s="3"/>
      <c r="I46" s="3" t="s">
        <v>426</v>
      </c>
      <c r="J46" s="3"/>
      <c r="K46" s="1"/>
      <c r="L46" s="1"/>
    </row>
    <row r="47" spans="1:12" ht="26">
      <c r="A47" s="2">
        <f t="shared" si="0"/>
        <v>46</v>
      </c>
      <c r="B47" s="2"/>
      <c r="C47" s="2"/>
      <c r="D47" s="2"/>
      <c r="E47" s="2"/>
      <c r="F47" s="3" t="s">
        <v>449</v>
      </c>
      <c r="G47" s="3" t="s">
        <v>450</v>
      </c>
      <c r="H47" s="3"/>
      <c r="I47" s="3" t="s">
        <v>426</v>
      </c>
      <c r="J47" s="3"/>
      <c r="K47" s="1"/>
      <c r="L47" s="1"/>
    </row>
    <row r="48" spans="1:12" ht="26">
      <c r="A48" s="2">
        <f t="shared" si="0"/>
        <v>47</v>
      </c>
      <c r="B48" s="2"/>
      <c r="C48" s="2"/>
      <c r="D48" s="2"/>
      <c r="E48" s="2"/>
      <c r="F48" s="3" t="s">
        <v>451</v>
      </c>
      <c r="G48" s="3" t="s">
        <v>452</v>
      </c>
      <c r="H48" s="3"/>
      <c r="I48" s="3" t="s">
        <v>426</v>
      </c>
      <c r="J48" s="3"/>
      <c r="K48" s="1"/>
      <c r="L48" s="1"/>
    </row>
    <row r="49" spans="1:12" ht="26">
      <c r="A49" s="2">
        <f t="shared" si="0"/>
        <v>48</v>
      </c>
      <c r="B49" s="2"/>
      <c r="C49" s="2"/>
      <c r="D49" s="2"/>
      <c r="E49" s="2"/>
      <c r="F49" s="3" t="s">
        <v>453</v>
      </c>
      <c r="G49" s="3" t="s">
        <v>454</v>
      </c>
      <c r="H49" s="3"/>
      <c r="I49" s="3" t="s">
        <v>426</v>
      </c>
      <c r="J49" s="3"/>
      <c r="K49" s="1"/>
      <c r="L49" s="1"/>
    </row>
    <row r="50" spans="1:12" ht="26">
      <c r="A50" s="2">
        <f t="shared" si="0"/>
        <v>49</v>
      </c>
      <c r="B50" s="2"/>
      <c r="C50" s="2"/>
      <c r="D50" s="2"/>
      <c r="E50" s="2"/>
      <c r="F50" s="3" t="s">
        <v>455</v>
      </c>
      <c r="G50" s="3" t="s">
        <v>456</v>
      </c>
      <c r="H50" s="3"/>
      <c r="I50" s="3" t="s">
        <v>426</v>
      </c>
      <c r="J50" s="3"/>
      <c r="K50" s="1"/>
      <c r="L50" s="1"/>
    </row>
    <row r="51" spans="1:12" ht="26">
      <c r="A51" s="2">
        <f t="shared" si="0"/>
        <v>50</v>
      </c>
      <c r="B51" s="2"/>
      <c r="C51" s="2"/>
      <c r="D51" s="2"/>
      <c r="E51" s="2"/>
      <c r="F51" s="3" t="s">
        <v>457</v>
      </c>
      <c r="G51" s="3" t="s">
        <v>458</v>
      </c>
      <c r="H51" s="3"/>
      <c r="I51" s="3" t="s">
        <v>426</v>
      </c>
      <c r="J51" s="3"/>
      <c r="K51" s="1"/>
      <c r="L51" s="1"/>
    </row>
    <row r="52" spans="1:12" s="52" customFormat="1" ht="39">
      <c r="A52" s="11">
        <f t="shared" si="0"/>
        <v>51</v>
      </c>
      <c r="B52" s="11"/>
      <c r="C52" s="11"/>
      <c r="D52" s="11"/>
      <c r="E52" s="11"/>
      <c r="F52" s="12" t="s">
        <v>459</v>
      </c>
      <c r="G52" s="12" t="s">
        <v>460</v>
      </c>
      <c r="H52" s="12"/>
      <c r="I52" s="12" t="s">
        <v>426</v>
      </c>
      <c r="J52" s="12"/>
    </row>
    <row r="53" spans="1:12" s="52" customFormat="1" ht="26">
      <c r="A53" s="11">
        <f t="shared" si="0"/>
        <v>52</v>
      </c>
      <c r="B53" s="11"/>
      <c r="C53" s="11"/>
      <c r="D53" s="11"/>
      <c r="E53" s="11"/>
      <c r="F53" s="12" t="s">
        <v>461</v>
      </c>
      <c r="G53" s="12" t="s">
        <v>462</v>
      </c>
      <c r="H53" s="12"/>
      <c r="I53" s="12" t="s">
        <v>426</v>
      </c>
      <c r="J53" s="12"/>
    </row>
    <row r="54" spans="1:12">
      <c r="A54" s="2"/>
      <c r="B54" s="2"/>
      <c r="C54" s="2"/>
      <c r="D54" s="2"/>
      <c r="E54" s="2"/>
      <c r="F54" s="3"/>
      <c r="G54" s="3"/>
      <c r="H54" s="3"/>
      <c r="I54" s="3"/>
      <c r="J54" s="3"/>
      <c r="K54" s="1"/>
      <c r="L54" s="1"/>
    </row>
    <row r="55" spans="1:12">
      <c r="A55" s="2"/>
      <c r="B55" s="2"/>
      <c r="C55" s="2"/>
      <c r="D55" s="2"/>
      <c r="E55" s="2"/>
      <c r="F55" s="3"/>
      <c r="G55" s="3"/>
      <c r="H55" s="3"/>
      <c r="I55" s="3"/>
      <c r="J55" s="3"/>
      <c r="K55" s="1"/>
      <c r="L55" s="1"/>
    </row>
    <row r="56" spans="1:12">
      <c r="A56" s="2"/>
      <c r="B56" s="2"/>
      <c r="C56" s="2"/>
      <c r="D56" s="2"/>
      <c r="E56" s="2"/>
      <c r="F56" s="3"/>
      <c r="G56" s="3"/>
      <c r="H56" s="3"/>
      <c r="I56" s="3"/>
      <c r="J56" s="3"/>
      <c r="K56" s="1"/>
      <c r="L56" s="1"/>
    </row>
    <row r="57" spans="1:12">
      <c r="A57" s="2"/>
      <c r="B57" s="2"/>
      <c r="C57" s="2"/>
      <c r="D57" s="2"/>
      <c r="E57" s="2"/>
      <c r="F57" s="3"/>
      <c r="G57" s="3"/>
      <c r="H57" s="3"/>
      <c r="I57" s="3"/>
      <c r="J57" s="3"/>
      <c r="K57" s="1"/>
      <c r="L57" s="1"/>
    </row>
    <row r="58" spans="1:12">
      <c r="A58" s="2"/>
      <c r="B58" s="2"/>
      <c r="C58" s="2"/>
      <c r="D58" s="2"/>
      <c r="E58" s="2"/>
      <c r="F58" s="3"/>
      <c r="G58" s="3"/>
      <c r="H58" s="3"/>
      <c r="I58" s="3"/>
      <c r="J58" s="3"/>
      <c r="K58" s="1"/>
      <c r="L58" s="1"/>
    </row>
    <row r="59" spans="1:12">
      <c r="A59" s="2"/>
      <c r="B59" s="2"/>
      <c r="C59" s="2"/>
      <c r="D59" s="2"/>
      <c r="E59" s="2"/>
      <c r="F59" s="3"/>
      <c r="G59" s="3"/>
      <c r="H59" s="3"/>
      <c r="I59" s="3"/>
      <c r="J59" s="3"/>
      <c r="K59" s="1"/>
      <c r="L59" s="1"/>
    </row>
    <row r="60" spans="1:12">
      <c r="A60" s="2"/>
      <c r="B60" s="2"/>
      <c r="C60" s="2"/>
      <c r="D60" s="2"/>
      <c r="E60" s="2"/>
      <c r="F60" s="3"/>
      <c r="G60" s="3"/>
      <c r="H60" s="3"/>
      <c r="I60" s="3"/>
      <c r="J60" s="3"/>
      <c r="K60" s="1"/>
      <c r="L60" s="1"/>
    </row>
    <row r="61" spans="1:12">
      <c r="A61" s="2"/>
      <c r="B61" s="2"/>
      <c r="C61" s="2"/>
      <c r="D61" s="2"/>
      <c r="E61" s="2"/>
      <c r="F61" s="3"/>
      <c r="G61" s="3"/>
      <c r="H61" s="3"/>
      <c r="I61" s="3"/>
      <c r="J61" s="3"/>
      <c r="K61" s="1"/>
      <c r="L61" s="1"/>
    </row>
    <row r="62" spans="1:12">
      <c r="A62" s="2"/>
      <c r="B62" s="2"/>
      <c r="C62" s="2"/>
      <c r="D62" s="2"/>
      <c r="E62" s="2"/>
      <c r="F62" s="3"/>
      <c r="G62" s="3"/>
      <c r="H62" s="3"/>
      <c r="I62" s="3"/>
      <c r="J62" s="3"/>
      <c r="K62" s="1"/>
      <c r="L62" s="1"/>
    </row>
    <row r="63" spans="1:12">
      <c r="A63" s="2"/>
      <c r="B63" s="2"/>
      <c r="C63" s="2"/>
      <c r="D63" s="2"/>
      <c r="E63" s="2"/>
      <c r="F63" s="3"/>
      <c r="G63" s="3"/>
      <c r="H63" s="3"/>
      <c r="I63" s="3"/>
      <c r="J63" s="3"/>
      <c r="K63" s="1"/>
      <c r="L63" s="1"/>
    </row>
    <row r="64" spans="1:12">
      <c r="A64" s="2"/>
      <c r="B64" s="2"/>
      <c r="C64" s="2"/>
      <c r="D64" s="2"/>
      <c r="E64" s="2"/>
      <c r="F64" s="3"/>
      <c r="G64" s="3"/>
      <c r="H64" s="3"/>
      <c r="I64" s="3"/>
      <c r="J64" s="3"/>
      <c r="K64" s="1"/>
      <c r="L64" s="1"/>
    </row>
    <row r="65" spans="1:12">
      <c r="A65" s="2"/>
      <c r="B65" s="2"/>
      <c r="C65" s="2"/>
      <c r="D65" s="2"/>
      <c r="E65" s="2"/>
      <c r="F65" s="3"/>
      <c r="G65" s="3"/>
      <c r="H65" s="3"/>
      <c r="I65" s="3"/>
      <c r="J65" s="3"/>
      <c r="K65" s="1"/>
      <c r="L65" s="1"/>
    </row>
    <row r="66" spans="1:12">
      <c r="A66" s="2"/>
      <c r="B66" s="2"/>
      <c r="C66" s="2"/>
      <c r="D66" s="2"/>
      <c r="E66" s="2"/>
      <c r="F66" s="3"/>
      <c r="G66" s="3"/>
      <c r="H66" s="3"/>
      <c r="I66" s="3"/>
      <c r="J66" s="3"/>
      <c r="K66" s="1"/>
      <c r="L66" s="1"/>
    </row>
    <row r="67" spans="1:12">
      <c r="A67" s="2"/>
      <c r="B67" s="2"/>
      <c r="C67" s="2"/>
      <c r="D67" s="2"/>
      <c r="E67" s="2"/>
      <c r="F67" s="3"/>
      <c r="G67" s="3"/>
      <c r="H67" s="3"/>
      <c r="I67" s="3"/>
      <c r="J67" s="3"/>
      <c r="K67" s="1"/>
      <c r="L67" s="1"/>
    </row>
    <row r="68" spans="1:12">
      <c r="A68" s="2"/>
      <c r="B68" s="2"/>
      <c r="C68" s="2"/>
      <c r="D68" s="2"/>
      <c r="E68" s="2"/>
      <c r="F68" s="3"/>
      <c r="G68" s="3"/>
      <c r="H68" s="3"/>
      <c r="I68" s="3"/>
      <c r="J68" s="3"/>
      <c r="K68" s="1"/>
      <c r="L68" s="1"/>
    </row>
    <row r="69" spans="1:12">
      <c r="A69" s="2"/>
      <c r="B69" s="2"/>
      <c r="C69" s="2"/>
      <c r="D69" s="2"/>
      <c r="E69" s="2"/>
      <c r="F69" s="3"/>
      <c r="G69" s="3"/>
      <c r="H69" s="3"/>
      <c r="I69" s="3"/>
      <c r="J69" s="3"/>
      <c r="K69" s="1"/>
      <c r="L69" s="1"/>
    </row>
    <row r="70" spans="1:12">
      <c r="A70" s="2"/>
      <c r="B70" s="2"/>
      <c r="C70" s="2"/>
      <c r="D70" s="2"/>
      <c r="E70" s="2"/>
      <c r="F70" s="3"/>
      <c r="G70" s="3"/>
      <c r="H70" s="3"/>
      <c r="I70" s="3"/>
      <c r="J70" s="3"/>
      <c r="K70" s="1"/>
      <c r="L70" s="1"/>
    </row>
    <row r="71" spans="1:12">
      <c r="A71" s="2"/>
      <c r="B71" s="2"/>
      <c r="C71" s="2"/>
      <c r="D71" s="2"/>
      <c r="E71" s="2"/>
      <c r="F71" s="3"/>
      <c r="G71" s="3"/>
      <c r="H71" s="3"/>
      <c r="I71" s="3"/>
      <c r="J71" s="3"/>
      <c r="K71" s="1"/>
      <c r="L71" s="1"/>
    </row>
    <row r="72" spans="1:12">
      <c r="A72" s="2"/>
      <c r="B72" s="2"/>
      <c r="C72" s="2"/>
      <c r="D72" s="2"/>
      <c r="E72" s="2"/>
      <c r="F72" s="3"/>
      <c r="G72" s="3"/>
      <c r="H72" s="3"/>
      <c r="I72" s="3"/>
      <c r="J72" s="3"/>
      <c r="K72" s="1"/>
      <c r="L72" s="1"/>
    </row>
    <row r="73" spans="1:12">
      <c r="A73" s="2"/>
      <c r="B73" s="2"/>
      <c r="C73" s="2"/>
      <c r="D73" s="2"/>
      <c r="E73" s="2"/>
      <c r="F73" s="3"/>
      <c r="G73" s="3"/>
      <c r="H73" s="3"/>
      <c r="I73" s="3"/>
      <c r="J73" s="3"/>
      <c r="K73" s="1"/>
      <c r="L73" s="1"/>
    </row>
    <row r="74" spans="1:12">
      <c r="A74" s="2"/>
      <c r="B74" s="2"/>
      <c r="C74" s="2"/>
      <c r="D74" s="2"/>
      <c r="E74" s="2"/>
      <c r="F74" s="3"/>
      <c r="G74" s="3"/>
      <c r="H74" s="3"/>
      <c r="I74" s="3"/>
      <c r="J74" s="3"/>
      <c r="K74" s="1"/>
      <c r="L74" s="1"/>
    </row>
    <row r="75" spans="1:12">
      <c r="A75" s="2"/>
      <c r="B75" s="2"/>
      <c r="C75" s="2"/>
      <c r="D75" s="2"/>
      <c r="E75" s="2"/>
      <c r="F75" s="3"/>
      <c r="G75" s="3"/>
      <c r="H75" s="3"/>
      <c r="I75" s="3"/>
      <c r="J75" s="3"/>
      <c r="K75" s="1"/>
      <c r="L75" s="1"/>
    </row>
    <row r="76" spans="1:12">
      <c r="A76" s="2"/>
      <c r="B76" s="2"/>
      <c r="C76" s="2"/>
      <c r="D76" s="2"/>
      <c r="E76" s="2"/>
      <c r="F76" s="3"/>
      <c r="G76" s="3"/>
      <c r="H76" s="3"/>
      <c r="I76" s="3"/>
      <c r="J76" s="3"/>
      <c r="K76" s="1"/>
      <c r="L76" s="1"/>
    </row>
    <row r="77" spans="1:12">
      <c r="A77" s="2"/>
      <c r="B77" s="2"/>
      <c r="C77" s="2"/>
      <c r="D77" s="2"/>
      <c r="E77" s="2"/>
      <c r="F77" s="3"/>
      <c r="G77" s="3"/>
      <c r="H77" s="3"/>
      <c r="I77" s="3"/>
      <c r="J77" s="3"/>
      <c r="K77" s="1"/>
      <c r="L77" s="1"/>
    </row>
    <row r="78" spans="1:12">
      <c r="A78" s="2"/>
      <c r="B78" s="2"/>
      <c r="C78" s="2"/>
      <c r="D78" s="2"/>
      <c r="E78" s="2"/>
      <c r="F78" s="3"/>
      <c r="G78" s="3"/>
      <c r="H78" s="3"/>
      <c r="I78" s="3"/>
      <c r="J78" s="3"/>
      <c r="K78" s="1"/>
      <c r="L78" s="1"/>
    </row>
  </sheetData>
  <conditionalFormatting sqref="F7:F8 F10:F78">
    <cfRule type="duplicateValues" dxfId="4" priority="4"/>
  </conditionalFormatting>
  <conditionalFormatting sqref="F79:F1048576 F1 F3:F6 F9">
    <cfRule type="duplicateValues" dxfId="3" priority="3"/>
  </conditionalFormatting>
  <conditionalFormatting sqref="G29">
    <cfRule type="duplicateValues" dxfId="2" priority="1"/>
  </conditionalFormatting>
  <dataValidations count="2">
    <dataValidation type="list" allowBlank="1" showInputMessage="1" showErrorMessage="1" sqref="B2:B1048576" xr:uid="{EF42F0F7-FE4B-4DF5-8631-13F4DC4B96FB}">
      <formula1>"Policy,Claims,Risk,New Business,Retention,Underwriting,Other"</formula1>
    </dataValidation>
    <dataValidation type="list" allowBlank="1" showInputMessage="1" showErrorMessage="1" sqref="E2:E1048576" xr:uid="{8F8396D2-22F4-48C9-9BE6-502F68D102D6}">
      <formula1>"Yes, No"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AF45-693A-490E-868C-B1DFDEDC1CAD}">
  <dimension ref="A1:E14"/>
  <sheetViews>
    <sheetView workbookViewId="0"/>
  </sheetViews>
  <sheetFormatPr defaultRowHeight="14.5"/>
  <cols>
    <col min="1" max="1" width="35.453125" customWidth="1"/>
    <col min="2" max="2" width="27.81640625" customWidth="1"/>
    <col min="3" max="3" width="34.54296875" customWidth="1"/>
    <col min="4" max="4" width="37.7265625" customWidth="1"/>
  </cols>
  <sheetData>
    <row r="1" spans="1:5" ht="29">
      <c r="A1" s="57" t="s">
        <v>463</v>
      </c>
      <c r="B1" s="57" t="s">
        <v>464</v>
      </c>
      <c r="C1" s="57" t="s">
        <v>465</v>
      </c>
      <c r="D1" s="57" t="s">
        <v>466</v>
      </c>
    </row>
    <row r="2" spans="1:5" ht="43.5">
      <c r="A2" s="58" t="s">
        <v>467</v>
      </c>
      <c r="B2" s="59" t="s">
        <v>468</v>
      </c>
      <c r="C2" s="59" t="s">
        <v>469</v>
      </c>
      <c r="D2" s="60" t="s">
        <v>470</v>
      </c>
    </row>
    <row r="3" spans="1:5" ht="58">
      <c r="A3" s="58" t="s">
        <v>471</v>
      </c>
      <c r="B3" s="59" t="s">
        <v>472</v>
      </c>
      <c r="C3" s="59" t="s">
        <v>473</v>
      </c>
      <c r="D3" s="59" t="s">
        <v>474</v>
      </c>
    </row>
    <row r="4" spans="1:5" ht="29">
      <c r="A4" s="61" t="s">
        <v>475</v>
      </c>
      <c r="B4" s="62" t="s">
        <v>476</v>
      </c>
      <c r="C4" s="62" t="s">
        <v>477</v>
      </c>
      <c r="D4" s="63" t="s">
        <v>478</v>
      </c>
    </row>
    <row r="5" spans="1:5" ht="43.5">
      <c r="A5" s="61" t="s">
        <v>479</v>
      </c>
      <c r="B5" s="62" t="s">
        <v>480</v>
      </c>
      <c r="C5" s="62" t="s">
        <v>481</v>
      </c>
      <c r="D5" s="62" t="s">
        <v>482</v>
      </c>
    </row>
    <row r="6" spans="1:5" ht="409.5" customHeight="1">
      <c r="A6" s="61" t="s">
        <v>483</v>
      </c>
      <c r="B6" s="62" t="s">
        <v>484</v>
      </c>
      <c r="C6" s="63" t="s">
        <v>485</v>
      </c>
      <c r="D6" s="62" t="s">
        <v>486</v>
      </c>
    </row>
    <row r="7" spans="1:5" ht="409.5" customHeight="1">
      <c r="A7" s="58" t="s">
        <v>487</v>
      </c>
      <c r="B7" s="59" t="s">
        <v>488</v>
      </c>
      <c r="C7" s="59" t="s">
        <v>489</v>
      </c>
      <c r="D7" s="59" t="s">
        <v>490</v>
      </c>
    </row>
    <row r="8" spans="1:5" ht="162.75" customHeight="1">
      <c r="A8" s="58" t="s">
        <v>491</v>
      </c>
      <c r="B8" s="59" t="s">
        <v>492</v>
      </c>
      <c r="C8" s="58" t="s">
        <v>493</v>
      </c>
      <c r="D8" s="59" t="s">
        <v>494</v>
      </c>
    </row>
    <row r="9" spans="1:5" ht="87.75" customHeight="1">
      <c r="A9" s="57" t="s">
        <v>495</v>
      </c>
      <c r="B9" s="64" t="s">
        <v>496</v>
      </c>
      <c r="C9" s="64" t="s">
        <v>497</v>
      </c>
      <c r="D9" s="64"/>
    </row>
    <row r="10" spans="1:5" ht="215.25" customHeight="1">
      <c r="A10" s="68" t="s">
        <v>498</v>
      </c>
      <c r="B10" s="55"/>
      <c r="C10" s="69"/>
      <c r="D10" s="70" t="s">
        <v>499</v>
      </c>
      <c r="E10" s="25"/>
    </row>
    <row r="14" spans="1:5">
      <c r="D14" s="25"/>
    </row>
  </sheetData>
  <hyperlinks>
    <hyperlink ref="D2" r:id="rId1" xr:uid="{5A266FEF-1A24-4446-BB15-875D38EA571A}"/>
    <hyperlink ref="D4" r:id="rId2" xr:uid="{4E30565D-34B1-4145-BE3D-C044241979B2}"/>
    <hyperlink ref="C6" r:id="rId3" xr:uid="{AC0F06FF-EBFC-48CF-B985-3EF89BCCC8D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5D4D-A074-45A3-A8E0-47EBCEFAD44D}">
  <dimension ref="A1:G60"/>
  <sheetViews>
    <sheetView workbookViewId="0">
      <selection activeCell="E48" sqref="E48"/>
    </sheetView>
  </sheetViews>
  <sheetFormatPr defaultRowHeight="14.5"/>
  <cols>
    <col min="1" max="1" width="31.54296875" customWidth="1"/>
    <col min="2" max="2" width="25.1796875" customWidth="1"/>
    <col min="3" max="3" width="26.1796875" customWidth="1"/>
    <col min="4" max="4" width="20.1796875" customWidth="1"/>
    <col min="5" max="5" width="25" customWidth="1"/>
    <col min="6" max="6" width="18.1796875" customWidth="1"/>
  </cols>
  <sheetData>
    <row r="1" spans="1:6">
      <c r="A1" s="25" t="s">
        <v>500</v>
      </c>
      <c r="B1" s="25" t="s">
        <v>501</v>
      </c>
      <c r="C1" s="25" t="s">
        <v>502</v>
      </c>
      <c r="D1" s="25" t="s">
        <v>503</v>
      </c>
      <c r="E1" s="25" t="s">
        <v>504</v>
      </c>
      <c r="F1" s="25" t="s">
        <v>505</v>
      </c>
    </row>
    <row r="2" spans="1:6">
      <c r="A2" s="25" t="s">
        <v>506</v>
      </c>
      <c r="B2" t="s">
        <v>507</v>
      </c>
      <c r="C2" s="25" t="s">
        <v>508</v>
      </c>
      <c r="D2" s="25" t="s">
        <v>509</v>
      </c>
      <c r="E2" s="25" t="s">
        <v>510</v>
      </c>
      <c r="F2" t="s">
        <v>511</v>
      </c>
    </row>
    <row r="3" spans="1:6">
      <c r="C3" t="s">
        <v>512</v>
      </c>
      <c r="D3" t="s">
        <v>513</v>
      </c>
      <c r="E3" t="s">
        <v>514</v>
      </c>
      <c r="F3" s="72" t="s">
        <v>515</v>
      </c>
    </row>
    <row r="4" spans="1:6">
      <c r="B4" t="s">
        <v>516</v>
      </c>
      <c r="F4" s="72" t="s">
        <v>517</v>
      </c>
    </row>
    <row r="5" spans="1:6">
      <c r="F5" s="72" t="s">
        <v>518</v>
      </c>
    </row>
    <row r="6" spans="1:6">
      <c r="B6" t="s">
        <v>519</v>
      </c>
      <c r="F6" s="72" t="s">
        <v>520</v>
      </c>
    </row>
    <row r="8" spans="1:6">
      <c r="B8" t="s">
        <v>521</v>
      </c>
    </row>
    <row r="10" spans="1:6">
      <c r="B10" t="s">
        <v>522</v>
      </c>
    </row>
    <row r="12" spans="1:6">
      <c r="B12" t="s">
        <v>523</v>
      </c>
    </row>
    <row r="14" spans="1:6">
      <c r="A14" s="25" t="s">
        <v>524</v>
      </c>
      <c r="B14" t="s">
        <v>521</v>
      </c>
      <c r="C14" s="25" t="s">
        <v>525</v>
      </c>
      <c r="D14" s="25" t="s">
        <v>526</v>
      </c>
      <c r="E14" s="25" t="s">
        <v>527</v>
      </c>
      <c r="F14" t="s">
        <v>528</v>
      </c>
    </row>
    <row r="15" spans="1:6">
      <c r="C15" t="s">
        <v>529</v>
      </c>
      <c r="D15" t="s">
        <v>530</v>
      </c>
      <c r="E15" t="s">
        <v>531</v>
      </c>
      <c r="F15" s="76" t="s">
        <v>532</v>
      </c>
    </row>
    <row r="16" spans="1:6">
      <c r="B16" t="s">
        <v>533</v>
      </c>
      <c r="F16" s="76" t="s">
        <v>534</v>
      </c>
    </row>
    <row r="17" spans="1:6">
      <c r="F17" s="76" t="s">
        <v>535</v>
      </c>
    </row>
    <row r="18" spans="1:6">
      <c r="B18" t="s">
        <v>536</v>
      </c>
    </row>
    <row r="20" spans="1:6">
      <c r="B20" t="s">
        <v>537</v>
      </c>
    </row>
    <row r="22" spans="1:6">
      <c r="B22" t="s">
        <v>538</v>
      </c>
    </row>
    <row r="24" spans="1:6">
      <c r="B24" t="s">
        <v>539</v>
      </c>
    </row>
    <row r="26" spans="1:6">
      <c r="B26" t="s">
        <v>523</v>
      </c>
    </row>
    <row r="28" spans="1:6">
      <c r="A28" s="25" t="s">
        <v>540</v>
      </c>
      <c r="B28" t="s">
        <v>541</v>
      </c>
      <c r="C28" s="25" t="s">
        <v>542</v>
      </c>
      <c r="D28" s="25" t="s">
        <v>543</v>
      </c>
      <c r="E28" s="25" t="s">
        <v>544</v>
      </c>
      <c r="F28" t="s">
        <v>545</v>
      </c>
    </row>
    <row r="29" spans="1:6">
      <c r="C29" t="s">
        <v>546</v>
      </c>
      <c r="D29" t="s">
        <v>547</v>
      </c>
      <c r="E29" t="s">
        <v>548</v>
      </c>
      <c r="F29" s="76" t="s">
        <v>549</v>
      </c>
    </row>
    <row r="30" spans="1:6">
      <c r="B30" t="s">
        <v>550</v>
      </c>
      <c r="F30" s="76" t="s">
        <v>551</v>
      </c>
    </row>
    <row r="31" spans="1:6">
      <c r="F31" s="76" t="s">
        <v>552</v>
      </c>
    </row>
    <row r="32" spans="1:6">
      <c r="B32" t="s">
        <v>533</v>
      </c>
    </row>
    <row r="34" spans="1:7">
      <c r="B34" t="s">
        <v>521</v>
      </c>
    </row>
    <row r="36" spans="1:7">
      <c r="B36" t="s">
        <v>523</v>
      </c>
    </row>
    <row r="37" spans="1:7">
      <c r="A37" s="25"/>
      <c r="B37" s="25"/>
      <c r="C37" s="25"/>
      <c r="D37" s="25"/>
      <c r="E37" s="25"/>
      <c r="F37" s="25"/>
      <c r="G37" s="25"/>
    </row>
    <row r="38" spans="1:7">
      <c r="A38" s="25" t="s">
        <v>553</v>
      </c>
      <c r="B38" t="s">
        <v>538</v>
      </c>
      <c r="C38" s="25" t="s">
        <v>554</v>
      </c>
      <c r="D38" s="25" t="s">
        <v>555</v>
      </c>
      <c r="E38" s="25" t="s">
        <v>556</v>
      </c>
      <c r="F38" t="s">
        <v>557</v>
      </c>
    </row>
    <row r="39" spans="1:7">
      <c r="C39" t="s">
        <v>558</v>
      </c>
      <c r="D39" t="s">
        <v>559</v>
      </c>
      <c r="E39" t="s">
        <v>560</v>
      </c>
      <c r="F39" s="76" t="s">
        <v>561</v>
      </c>
    </row>
    <row r="40" spans="1:7">
      <c r="B40" t="s">
        <v>539</v>
      </c>
      <c r="F40" s="76" t="s">
        <v>562</v>
      </c>
    </row>
    <row r="42" spans="1:7">
      <c r="B42" t="s">
        <v>521</v>
      </c>
    </row>
    <row r="44" spans="1:7">
      <c r="B44" t="s">
        <v>519</v>
      </c>
    </row>
    <row r="46" spans="1:7">
      <c r="B46" t="s">
        <v>523</v>
      </c>
    </row>
    <row r="47" spans="1:7">
      <c r="A47" s="25"/>
      <c r="B47" s="25"/>
      <c r="D47" s="25"/>
      <c r="E47" s="25"/>
      <c r="F47" s="25"/>
    </row>
    <row r="48" spans="1:7">
      <c r="A48" s="25" t="s">
        <v>563</v>
      </c>
      <c r="B48" t="s">
        <v>507</v>
      </c>
      <c r="C48" s="25" t="s">
        <v>564</v>
      </c>
      <c r="D48" s="25" t="s">
        <v>565</v>
      </c>
      <c r="E48" s="25" t="s">
        <v>566</v>
      </c>
      <c r="F48" t="s">
        <v>567</v>
      </c>
    </row>
    <row r="49" spans="1:6">
      <c r="B49" t="s">
        <v>568</v>
      </c>
      <c r="C49" t="s">
        <v>569</v>
      </c>
      <c r="D49" t="s">
        <v>570</v>
      </c>
      <c r="E49" t="s">
        <v>571</v>
      </c>
      <c r="F49" t="s">
        <v>572</v>
      </c>
    </row>
    <row r="50" spans="1:6">
      <c r="B50" t="s">
        <v>516</v>
      </c>
      <c r="F50" t="s">
        <v>573</v>
      </c>
    </row>
    <row r="51" spans="1:6">
      <c r="B51" t="s">
        <v>568</v>
      </c>
      <c r="F51" t="s">
        <v>574</v>
      </c>
    </row>
    <row r="52" spans="1:6">
      <c r="B52" t="s">
        <v>519</v>
      </c>
      <c r="F52" t="s">
        <v>575</v>
      </c>
    </row>
    <row r="53" spans="1:6">
      <c r="B53" t="s">
        <v>568</v>
      </c>
    </row>
    <row r="54" spans="1:6">
      <c r="B54" t="s">
        <v>533</v>
      </c>
    </row>
    <row r="55" spans="1:6">
      <c r="B55" t="s">
        <v>568</v>
      </c>
    </row>
    <row r="56" spans="1:6">
      <c r="B56" t="s">
        <v>521</v>
      </c>
    </row>
    <row r="57" spans="1:6">
      <c r="B57" t="s">
        <v>568</v>
      </c>
    </row>
    <row r="58" spans="1:6">
      <c r="A58" s="25"/>
      <c r="B58" t="s">
        <v>523</v>
      </c>
    </row>
    <row r="59" spans="1:6">
      <c r="B59" t="s">
        <v>568</v>
      </c>
    </row>
    <row r="60" spans="1:6">
      <c r="B60" t="s">
        <v>576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A0DD-694F-41A8-B2CF-7830AC614779}">
  <dimension ref="A1:H32"/>
  <sheetViews>
    <sheetView showGridLines="0" workbookViewId="0">
      <pane xSplit="4" ySplit="16" topLeftCell="E20" activePane="bottomRight" state="frozen"/>
      <selection pane="topRight" activeCell="D1" sqref="D1"/>
      <selection pane="bottomLeft" activeCell="A3" sqref="A3"/>
      <selection pane="bottomRight" activeCell="D11" sqref="D11"/>
    </sheetView>
  </sheetViews>
  <sheetFormatPr defaultColWidth="8.7265625" defaultRowHeight="13"/>
  <cols>
    <col min="1" max="1" width="4.26953125" style="29" bestFit="1" customWidth="1"/>
    <col min="2" max="2" width="24" style="29" bestFit="1" customWidth="1"/>
    <col min="3" max="3" width="28.7265625" style="29" bestFit="1" customWidth="1"/>
    <col min="4" max="7" width="19.54296875" style="30" customWidth="1"/>
    <col min="8" max="8" width="34.54296875" style="30" bestFit="1" customWidth="1"/>
    <col min="9" max="16384" width="8.7265625" style="27"/>
  </cols>
  <sheetData>
    <row r="1" spans="1:8">
      <c r="A1" s="112" t="s">
        <v>577</v>
      </c>
      <c r="B1" s="112"/>
      <c r="C1" s="112"/>
      <c r="D1" s="113" t="s">
        <v>578</v>
      </c>
      <c r="E1" s="113"/>
      <c r="F1" s="113" t="s">
        <v>579</v>
      </c>
      <c r="G1" s="113"/>
      <c r="H1" s="31"/>
    </row>
    <row r="2" spans="1:8">
      <c r="A2" s="32" t="s">
        <v>312</v>
      </c>
      <c r="B2" s="32" t="s">
        <v>577</v>
      </c>
      <c r="C2" s="32" t="s">
        <v>580</v>
      </c>
      <c r="D2" s="33" t="s">
        <v>581</v>
      </c>
      <c r="E2" s="33" t="s">
        <v>582</v>
      </c>
      <c r="F2" s="33" t="s">
        <v>583</v>
      </c>
      <c r="G2" s="33" t="s">
        <v>584</v>
      </c>
      <c r="H2" s="33"/>
    </row>
    <row r="3" spans="1:8">
      <c r="A3" s="29">
        <v>1</v>
      </c>
      <c r="B3" s="29" t="s">
        <v>320</v>
      </c>
      <c r="D3" s="34">
        <v>0.84</v>
      </c>
      <c r="E3" s="35">
        <v>0.63300000000000001</v>
      </c>
      <c r="F3" s="34">
        <v>0.41699999999999998</v>
      </c>
      <c r="G3" s="30" t="s">
        <v>585</v>
      </c>
    </row>
    <row r="4" spans="1:8">
      <c r="C4" s="29" t="s">
        <v>586</v>
      </c>
      <c r="D4" s="30" t="s">
        <v>587</v>
      </c>
      <c r="E4" s="30" t="s">
        <v>588</v>
      </c>
      <c r="F4" s="30" t="s">
        <v>589</v>
      </c>
      <c r="G4" s="30" t="s">
        <v>590</v>
      </c>
    </row>
    <row r="5" spans="1:8" ht="26">
      <c r="C5" s="29" t="s">
        <v>591</v>
      </c>
      <c r="D5" s="30" t="s">
        <v>592</v>
      </c>
      <c r="E5" s="30" t="s">
        <v>593</v>
      </c>
      <c r="F5" s="30" t="s">
        <v>594</v>
      </c>
      <c r="G5" s="30" t="s">
        <v>595</v>
      </c>
    </row>
    <row r="6" spans="1:8">
      <c r="C6" s="29" t="s">
        <v>596</v>
      </c>
      <c r="D6" s="30" t="s">
        <v>597</v>
      </c>
      <c r="E6" s="30" t="s">
        <v>598</v>
      </c>
      <c r="F6" s="30" t="s">
        <v>599</v>
      </c>
      <c r="G6" s="30" t="s">
        <v>600</v>
      </c>
    </row>
    <row r="7" spans="1:8">
      <c r="C7" s="29" t="s">
        <v>601</v>
      </c>
      <c r="D7" s="30" t="s">
        <v>602</v>
      </c>
      <c r="E7" s="30" t="s">
        <v>603</v>
      </c>
      <c r="F7" s="30" t="s">
        <v>604</v>
      </c>
      <c r="G7" s="30" t="s">
        <v>605</v>
      </c>
    </row>
    <row r="8" spans="1:8">
      <c r="C8" s="29" t="s">
        <v>606</v>
      </c>
      <c r="D8" s="30" t="s">
        <v>607</v>
      </c>
      <c r="E8" s="30" t="s">
        <v>608</v>
      </c>
      <c r="F8" s="30" t="s">
        <v>609</v>
      </c>
      <c r="G8" s="30" t="s">
        <v>610</v>
      </c>
    </row>
    <row r="9" spans="1:8" ht="26">
      <c r="C9" s="29" t="s">
        <v>611</v>
      </c>
      <c r="D9" s="30" t="s">
        <v>612</v>
      </c>
      <c r="E9" s="30" t="s">
        <v>613</v>
      </c>
      <c r="F9" s="30" t="s">
        <v>614</v>
      </c>
      <c r="G9" s="30" t="s">
        <v>615</v>
      </c>
    </row>
    <row r="10" spans="1:8">
      <c r="A10" s="29">
        <v>2</v>
      </c>
      <c r="B10" s="29" t="s">
        <v>324</v>
      </c>
      <c r="D10" s="30" t="s">
        <v>616</v>
      </c>
      <c r="E10" s="34">
        <v>0.36</v>
      </c>
      <c r="F10" s="34">
        <v>0.27</v>
      </c>
      <c r="G10" s="30" t="s">
        <v>617</v>
      </c>
    </row>
    <row r="11" spans="1:8" ht="26">
      <c r="C11" s="29" t="s">
        <v>107</v>
      </c>
      <c r="D11" s="30" t="s">
        <v>618</v>
      </c>
      <c r="E11" s="30" t="s">
        <v>619</v>
      </c>
      <c r="F11" s="30" t="s">
        <v>620</v>
      </c>
      <c r="G11" s="30" t="s">
        <v>621</v>
      </c>
    </row>
    <row r="12" spans="1:8">
      <c r="A12" s="29">
        <v>3</v>
      </c>
      <c r="B12" s="29" t="s">
        <v>329</v>
      </c>
      <c r="C12" s="42"/>
      <c r="D12" s="35">
        <v>1.0489999999999999</v>
      </c>
      <c r="E12" s="35">
        <v>1.109</v>
      </c>
      <c r="F12" s="35">
        <v>0.88100000000000001</v>
      </c>
      <c r="G12" s="34">
        <v>1.0900000000000001</v>
      </c>
    </row>
    <row r="13" spans="1:8">
      <c r="A13" s="29">
        <v>4</v>
      </c>
      <c r="B13" s="29" t="s">
        <v>622</v>
      </c>
      <c r="D13" s="30" t="s">
        <v>623</v>
      </c>
      <c r="E13" s="30" t="s">
        <v>624</v>
      </c>
      <c r="F13" s="30" t="s">
        <v>625</v>
      </c>
      <c r="G13" s="30" t="s">
        <v>626</v>
      </c>
    </row>
    <row r="14" spans="1:8">
      <c r="C14" s="29" t="s">
        <v>627</v>
      </c>
      <c r="D14" s="30" t="s">
        <v>628</v>
      </c>
      <c r="E14" s="36">
        <v>1800</v>
      </c>
      <c r="F14" s="30" t="s">
        <v>629</v>
      </c>
      <c r="G14" s="30" t="s">
        <v>630</v>
      </c>
    </row>
    <row r="15" spans="1:8">
      <c r="A15" s="29">
        <v>5</v>
      </c>
      <c r="B15" s="29" t="s">
        <v>631</v>
      </c>
      <c r="D15" s="30" t="s">
        <v>632</v>
      </c>
      <c r="E15" s="30" t="s">
        <v>633</v>
      </c>
      <c r="F15" s="30" t="s">
        <v>634</v>
      </c>
      <c r="G15" s="30" t="s">
        <v>635</v>
      </c>
    </row>
    <row r="16" spans="1:8">
      <c r="C16" s="29" t="s">
        <v>627</v>
      </c>
      <c r="D16" s="30" t="s">
        <v>628</v>
      </c>
      <c r="E16" s="30" t="s">
        <v>636</v>
      </c>
      <c r="F16" s="30" t="s">
        <v>637</v>
      </c>
      <c r="G16" s="30" t="s">
        <v>638</v>
      </c>
    </row>
    <row r="17" spans="1:8">
      <c r="A17" s="29">
        <v>6</v>
      </c>
      <c r="B17" s="29" t="s">
        <v>596</v>
      </c>
      <c r="D17" s="30" t="s">
        <v>639</v>
      </c>
      <c r="E17" s="30" t="s">
        <v>640</v>
      </c>
      <c r="F17" s="30" t="s">
        <v>641</v>
      </c>
      <c r="G17" s="30" t="s">
        <v>600</v>
      </c>
    </row>
    <row r="18" spans="1:8">
      <c r="C18" s="29" t="s">
        <v>627</v>
      </c>
      <c r="D18" s="30" t="s">
        <v>602</v>
      </c>
      <c r="E18" s="30" t="s">
        <v>642</v>
      </c>
      <c r="F18" s="30" t="s">
        <v>643</v>
      </c>
      <c r="G18" s="30" t="s">
        <v>644</v>
      </c>
    </row>
    <row r="19" spans="1:8">
      <c r="A19" s="29">
        <v>7</v>
      </c>
      <c r="B19" s="29" t="s">
        <v>335</v>
      </c>
    </row>
    <row r="20" spans="1:8">
      <c r="C20" s="29" t="s">
        <v>645</v>
      </c>
      <c r="D20" s="30" t="s">
        <v>646</v>
      </c>
      <c r="E20" s="30" t="s">
        <v>647</v>
      </c>
      <c r="F20" s="30" t="s">
        <v>648</v>
      </c>
      <c r="G20" s="30" t="s">
        <v>646</v>
      </c>
    </row>
    <row r="21" spans="1:8">
      <c r="A21" s="29">
        <v>8</v>
      </c>
      <c r="B21" s="37" t="s">
        <v>339</v>
      </c>
    </row>
    <row r="22" spans="1:8">
      <c r="A22" s="29">
        <v>9</v>
      </c>
      <c r="B22" s="29" t="s">
        <v>388</v>
      </c>
    </row>
    <row r="23" spans="1:8" ht="52">
      <c r="C23" s="29" t="s">
        <v>649</v>
      </c>
      <c r="D23" s="30" t="s">
        <v>650</v>
      </c>
      <c r="E23" s="30" t="s">
        <v>651</v>
      </c>
      <c r="F23" s="30" t="s">
        <v>652</v>
      </c>
      <c r="G23" s="30" t="s">
        <v>653</v>
      </c>
    </row>
    <row r="24" spans="1:8">
      <c r="A24" s="29">
        <v>10</v>
      </c>
      <c r="B24" s="29" t="s">
        <v>391</v>
      </c>
    </row>
    <row r="25" spans="1:8" ht="91">
      <c r="C25" s="29" t="s">
        <v>654</v>
      </c>
      <c r="D25" s="30" t="s">
        <v>655</v>
      </c>
      <c r="E25" s="30" t="s">
        <v>656</v>
      </c>
      <c r="F25" s="30" t="s">
        <v>657</v>
      </c>
      <c r="G25" s="30" t="s">
        <v>658</v>
      </c>
    </row>
    <row r="26" spans="1:8">
      <c r="A26" s="29">
        <v>11</v>
      </c>
      <c r="B26" s="29" t="s">
        <v>659</v>
      </c>
    </row>
    <row r="27" spans="1:8" ht="117">
      <c r="C27" s="29" t="s">
        <v>659</v>
      </c>
      <c r="D27" s="30" t="s">
        <v>660</v>
      </c>
      <c r="E27" s="30" t="s">
        <v>661</v>
      </c>
      <c r="F27" s="30" t="s">
        <v>662</v>
      </c>
      <c r="G27" s="30" t="s">
        <v>663</v>
      </c>
    </row>
    <row r="28" spans="1:8" ht="26">
      <c r="A28" s="29">
        <v>12</v>
      </c>
      <c r="B28" s="29" t="s">
        <v>664</v>
      </c>
      <c r="D28" s="30" t="s">
        <v>665</v>
      </c>
      <c r="E28" s="30" t="s">
        <v>666</v>
      </c>
      <c r="F28" s="30" t="s">
        <v>667</v>
      </c>
      <c r="G28" s="30" t="s">
        <v>668</v>
      </c>
    </row>
    <row r="29" spans="1:8" s="28" customFormat="1" ht="26">
      <c r="A29" s="38">
        <v>13</v>
      </c>
      <c r="B29" s="38" t="s">
        <v>409</v>
      </c>
      <c r="C29" s="38"/>
      <c r="D29" s="39" t="s">
        <v>669</v>
      </c>
      <c r="E29" s="39" t="s">
        <v>669</v>
      </c>
      <c r="F29" s="39" t="s">
        <v>670</v>
      </c>
      <c r="G29" s="39" t="s">
        <v>671</v>
      </c>
      <c r="H29" s="39"/>
    </row>
    <row r="30" spans="1:8">
      <c r="A30" s="40">
        <v>14</v>
      </c>
      <c r="B30" s="40" t="s">
        <v>672</v>
      </c>
      <c r="C30" s="40"/>
      <c r="D30" s="41" t="s">
        <v>673</v>
      </c>
      <c r="E30" s="41" t="s">
        <v>673</v>
      </c>
      <c r="F30" s="43">
        <v>-1.47E-2</v>
      </c>
      <c r="G30" s="41" t="s">
        <v>674</v>
      </c>
      <c r="H30" s="41"/>
    </row>
    <row r="31" spans="1:8">
      <c r="A31" s="29">
        <v>15</v>
      </c>
      <c r="B31" s="29" t="s">
        <v>346</v>
      </c>
      <c r="D31" s="34">
        <v>0.1</v>
      </c>
      <c r="E31" s="30" t="s">
        <v>675</v>
      </c>
      <c r="F31" s="34" t="s">
        <v>676</v>
      </c>
      <c r="G31" s="30" t="s">
        <v>677</v>
      </c>
    </row>
    <row r="32" spans="1:8">
      <c r="A32" s="29">
        <v>16</v>
      </c>
      <c r="B32" s="29" t="s">
        <v>678</v>
      </c>
      <c r="D32" s="30" t="s">
        <v>679</v>
      </c>
      <c r="E32" s="30" t="s">
        <v>680</v>
      </c>
      <c r="F32" s="30" t="s">
        <v>681</v>
      </c>
      <c r="G32" s="30" t="s">
        <v>682</v>
      </c>
    </row>
  </sheetData>
  <mergeCells count="3">
    <mergeCell ref="A1:C1"/>
    <mergeCell ref="D1:E1"/>
    <mergeCell ref="F1:G1"/>
  </mergeCells>
  <conditionalFormatting sqref="B21">
    <cfRule type="duplicateValues" dxfId="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37DA-4E92-4E8D-8E7C-49B6A0E68F81}">
  <dimension ref="A1:H32"/>
  <sheetViews>
    <sheetView showGridLines="0" workbookViewId="0">
      <pane xSplit="3" ySplit="2" topLeftCell="D15" activePane="bottomRight" state="frozen"/>
      <selection pane="topRight" activeCell="D1" sqref="D1"/>
      <selection pane="bottomLeft" activeCell="A3" sqref="A3"/>
      <selection pane="bottomRight" activeCell="A2" sqref="A2"/>
    </sheetView>
  </sheetViews>
  <sheetFormatPr defaultColWidth="8.7265625" defaultRowHeight="13"/>
  <cols>
    <col min="1" max="1" width="4.26953125" style="15" bestFit="1" customWidth="1"/>
    <col min="2" max="2" width="24" style="15" bestFit="1" customWidth="1"/>
    <col min="3" max="3" width="28.7265625" style="15" bestFit="1" customWidth="1"/>
    <col min="4" max="5" width="19.54296875" style="16" customWidth="1"/>
    <col min="6" max="6" width="35.453125" style="16" customWidth="1"/>
    <col min="7" max="7" width="24.26953125" style="16" customWidth="1"/>
    <col min="8" max="8" width="34.54296875" style="16" bestFit="1" customWidth="1"/>
    <col min="9" max="16384" width="8.7265625" style="10"/>
  </cols>
  <sheetData>
    <row r="1" spans="1:8">
      <c r="A1" s="115" t="s">
        <v>577</v>
      </c>
      <c r="B1" s="115"/>
      <c r="C1" s="115"/>
      <c r="D1" s="114" t="s">
        <v>578</v>
      </c>
      <c r="E1" s="114"/>
      <c r="F1" s="114" t="s">
        <v>579</v>
      </c>
      <c r="G1" s="114"/>
      <c r="H1" s="14" t="s">
        <v>4</v>
      </c>
    </row>
    <row r="2" spans="1:8">
      <c r="A2" s="5" t="s">
        <v>312</v>
      </c>
      <c r="B2" s="5" t="s">
        <v>577</v>
      </c>
      <c r="C2" s="5" t="s">
        <v>580</v>
      </c>
      <c r="D2" s="6" t="s">
        <v>581</v>
      </c>
      <c r="E2" s="6" t="s">
        <v>582</v>
      </c>
      <c r="F2" s="6" t="s">
        <v>583</v>
      </c>
      <c r="G2" s="6" t="s">
        <v>584</v>
      </c>
      <c r="H2" s="6"/>
    </row>
    <row r="3" spans="1:8">
      <c r="A3" s="15">
        <v>1</v>
      </c>
      <c r="B3" s="15" t="s">
        <v>320</v>
      </c>
      <c r="D3" s="20" t="s">
        <v>683</v>
      </c>
      <c r="E3" s="21" t="s">
        <v>684</v>
      </c>
      <c r="F3" s="20" t="s">
        <v>685</v>
      </c>
      <c r="G3" s="16" t="s">
        <v>686</v>
      </c>
    </row>
    <row r="4" spans="1:8">
      <c r="C4" s="15" t="s">
        <v>586</v>
      </c>
      <c r="D4" s="16" t="s">
        <v>687</v>
      </c>
      <c r="E4" s="16" t="s">
        <v>688</v>
      </c>
      <c r="F4" s="16" t="s">
        <v>589</v>
      </c>
      <c r="G4" s="16" t="s">
        <v>590</v>
      </c>
    </row>
    <row r="5" spans="1:8">
      <c r="C5" s="15" t="s">
        <v>591</v>
      </c>
      <c r="D5" s="16" t="s">
        <v>689</v>
      </c>
      <c r="E5" s="16" t="s">
        <v>690</v>
      </c>
      <c r="F5" s="16" t="s">
        <v>691</v>
      </c>
      <c r="G5" s="16" t="s">
        <v>692</v>
      </c>
      <c r="H5" s="16" t="s">
        <v>693</v>
      </c>
    </row>
    <row r="6" spans="1:8">
      <c r="C6" s="15" t="s">
        <v>596</v>
      </c>
      <c r="D6" s="16" t="s">
        <v>694</v>
      </c>
      <c r="E6" s="16" t="s">
        <v>695</v>
      </c>
      <c r="F6" s="16" t="s">
        <v>696</v>
      </c>
      <c r="G6" s="16" t="s">
        <v>697</v>
      </c>
    </row>
    <row r="7" spans="1:8">
      <c r="C7" s="15" t="s">
        <v>601</v>
      </c>
      <c r="D7" s="16" t="s">
        <v>698</v>
      </c>
      <c r="E7" s="16" t="s">
        <v>699</v>
      </c>
      <c r="F7" s="16" t="s">
        <v>700</v>
      </c>
      <c r="G7" s="16" t="s">
        <v>701</v>
      </c>
    </row>
    <row r="8" spans="1:8">
      <c r="C8" s="15" t="s">
        <v>606</v>
      </c>
      <c r="D8" s="16" t="s">
        <v>702</v>
      </c>
      <c r="E8" s="16" t="s">
        <v>703</v>
      </c>
      <c r="F8" s="16" t="s">
        <v>704</v>
      </c>
      <c r="G8" s="16" t="s">
        <v>705</v>
      </c>
    </row>
    <row r="9" spans="1:8" ht="26">
      <c r="C9" s="15" t="s">
        <v>611</v>
      </c>
      <c r="D9" s="16" t="s">
        <v>706</v>
      </c>
      <c r="E9" s="16" t="s">
        <v>707</v>
      </c>
      <c r="F9" s="16" t="s">
        <v>708</v>
      </c>
      <c r="G9" s="16" t="s">
        <v>709</v>
      </c>
    </row>
    <row r="10" spans="1:8">
      <c r="A10" s="15">
        <v>2</v>
      </c>
      <c r="B10" s="15" t="s">
        <v>324</v>
      </c>
      <c r="D10" s="16" t="s">
        <v>710</v>
      </c>
      <c r="E10" s="16" t="s">
        <v>711</v>
      </c>
      <c r="F10" s="16" t="s">
        <v>712</v>
      </c>
      <c r="G10" s="16" t="s">
        <v>713</v>
      </c>
    </row>
    <row r="11" spans="1:8" ht="26">
      <c r="C11" s="15" t="s">
        <v>107</v>
      </c>
      <c r="D11" s="16" t="s">
        <v>714</v>
      </c>
      <c r="E11" s="16" t="s">
        <v>715</v>
      </c>
      <c r="F11" s="16" t="s">
        <v>716</v>
      </c>
      <c r="G11" s="16" t="s">
        <v>717</v>
      </c>
    </row>
    <row r="12" spans="1:8">
      <c r="A12" s="15">
        <v>3</v>
      </c>
      <c r="B12" s="15" t="s">
        <v>329</v>
      </c>
      <c r="F12" s="16" t="s">
        <v>718</v>
      </c>
      <c r="G12" s="16" t="s">
        <v>719</v>
      </c>
    </row>
    <row r="13" spans="1:8">
      <c r="A13" s="15">
        <v>4</v>
      </c>
      <c r="B13" s="15" t="s">
        <v>622</v>
      </c>
      <c r="D13" s="16" t="s">
        <v>720</v>
      </c>
      <c r="E13" s="16" t="s">
        <v>721</v>
      </c>
      <c r="F13" s="16" t="s">
        <v>722</v>
      </c>
      <c r="G13" s="16" t="s">
        <v>723</v>
      </c>
    </row>
    <row r="14" spans="1:8">
      <c r="C14" s="15" t="s">
        <v>627</v>
      </c>
      <c r="D14" s="16" t="s">
        <v>724</v>
      </c>
      <c r="E14" s="22" t="s">
        <v>725</v>
      </c>
      <c r="F14" s="16" t="s">
        <v>726</v>
      </c>
      <c r="G14" s="16" t="s">
        <v>727</v>
      </c>
    </row>
    <row r="15" spans="1:8">
      <c r="A15" s="15">
        <v>5</v>
      </c>
      <c r="B15" s="15" t="s">
        <v>631</v>
      </c>
      <c r="D15" s="16" t="s">
        <v>728</v>
      </c>
      <c r="E15" s="16" t="s">
        <v>729</v>
      </c>
      <c r="F15" s="16" t="s">
        <v>696</v>
      </c>
      <c r="G15" s="16" t="s">
        <v>730</v>
      </c>
    </row>
    <row r="16" spans="1:8">
      <c r="C16" s="15" t="s">
        <v>627</v>
      </c>
      <c r="D16" s="16" t="s">
        <v>628</v>
      </c>
      <c r="E16" s="16" t="s">
        <v>731</v>
      </c>
      <c r="F16" s="16" t="s">
        <v>700</v>
      </c>
      <c r="G16" s="16" t="s">
        <v>701</v>
      </c>
    </row>
    <row r="17" spans="1:8">
      <c r="A17" s="15">
        <v>6</v>
      </c>
      <c r="B17" s="15" t="s">
        <v>596</v>
      </c>
      <c r="D17" s="16" t="s">
        <v>732</v>
      </c>
      <c r="E17" s="16" t="s">
        <v>733</v>
      </c>
      <c r="F17" s="16" t="s">
        <v>696</v>
      </c>
      <c r="G17" s="16" t="s">
        <v>697</v>
      </c>
    </row>
    <row r="18" spans="1:8">
      <c r="C18" s="15" t="s">
        <v>627</v>
      </c>
      <c r="D18" s="16" t="s">
        <v>698</v>
      </c>
      <c r="E18" s="16" t="s">
        <v>734</v>
      </c>
      <c r="F18" s="16" t="s">
        <v>700</v>
      </c>
      <c r="G18" s="16" t="s">
        <v>701</v>
      </c>
    </row>
    <row r="19" spans="1:8" ht="26">
      <c r="A19" s="15">
        <v>7</v>
      </c>
      <c r="B19" s="15" t="s">
        <v>335</v>
      </c>
      <c r="H19" s="16" t="s">
        <v>735</v>
      </c>
    </row>
    <row r="20" spans="1:8">
      <c r="C20" s="15" t="s">
        <v>645</v>
      </c>
      <c r="D20" s="16" t="s">
        <v>736</v>
      </c>
      <c r="E20" s="16" t="s">
        <v>737</v>
      </c>
      <c r="F20" s="16" t="s">
        <v>738</v>
      </c>
      <c r="G20" s="16" t="s">
        <v>736</v>
      </c>
    </row>
    <row r="21" spans="1:8" ht="39">
      <c r="A21" s="15">
        <v>8</v>
      </c>
      <c r="B21" s="3" t="s">
        <v>339</v>
      </c>
      <c r="H21" s="16" t="s">
        <v>739</v>
      </c>
    </row>
    <row r="22" spans="1:8">
      <c r="A22" s="15">
        <v>9</v>
      </c>
      <c r="B22" s="15" t="s">
        <v>388</v>
      </c>
    </row>
    <row r="23" spans="1:8" ht="52">
      <c r="C23" s="15" t="s">
        <v>649</v>
      </c>
      <c r="D23" s="16" t="s">
        <v>740</v>
      </c>
      <c r="E23" s="16" t="s">
        <v>741</v>
      </c>
      <c r="F23" s="16" t="s">
        <v>652</v>
      </c>
      <c r="G23" s="16" t="s">
        <v>653</v>
      </c>
    </row>
    <row r="24" spans="1:8">
      <c r="A24" s="15">
        <v>10</v>
      </c>
      <c r="B24" s="15" t="s">
        <v>391</v>
      </c>
    </row>
    <row r="25" spans="1:8" ht="91">
      <c r="C25" s="15" t="s">
        <v>654</v>
      </c>
      <c r="D25" s="16" t="s">
        <v>742</v>
      </c>
      <c r="E25" s="16" t="s">
        <v>743</v>
      </c>
      <c r="F25" s="16" t="s">
        <v>744</v>
      </c>
      <c r="G25" s="16" t="s">
        <v>658</v>
      </c>
    </row>
    <row r="26" spans="1:8">
      <c r="A26" s="15">
        <v>11</v>
      </c>
      <c r="B26" s="15" t="s">
        <v>659</v>
      </c>
    </row>
    <row r="27" spans="1:8" ht="117">
      <c r="C27" s="15" t="s">
        <v>659</v>
      </c>
      <c r="D27" s="16" t="s">
        <v>745</v>
      </c>
      <c r="E27" s="16" t="s">
        <v>746</v>
      </c>
      <c r="F27" s="16" t="s">
        <v>747</v>
      </c>
      <c r="G27" s="16" t="s">
        <v>748</v>
      </c>
    </row>
    <row r="28" spans="1:8" ht="26">
      <c r="A28" s="15">
        <v>12</v>
      </c>
      <c r="B28" s="15" t="s">
        <v>664</v>
      </c>
      <c r="D28" s="16" t="s">
        <v>665</v>
      </c>
      <c r="E28" s="16" t="s">
        <v>666</v>
      </c>
      <c r="F28" s="16" t="s">
        <v>667</v>
      </c>
      <c r="G28" s="16" t="s">
        <v>668</v>
      </c>
      <c r="H28" s="16" t="s">
        <v>749</v>
      </c>
    </row>
    <row r="29" spans="1:8" s="19" customFormat="1" ht="26">
      <c r="A29" s="17">
        <v>13</v>
      </c>
      <c r="B29" s="17" t="s">
        <v>409</v>
      </c>
      <c r="C29" s="17"/>
      <c r="D29" s="18" t="s">
        <v>750</v>
      </c>
      <c r="E29" s="18" t="s">
        <v>750</v>
      </c>
      <c r="F29" s="18" t="s">
        <v>751</v>
      </c>
      <c r="G29" s="18" t="s">
        <v>752</v>
      </c>
      <c r="H29" s="18"/>
    </row>
    <row r="30" spans="1:8" ht="39">
      <c r="A30" s="15">
        <v>14</v>
      </c>
      <c r="B30" s="15" t="s">
        <v>672</v>
      </c>
      <c r="D30" s="16" t="s">
        <v>673</v>
      </c>
      <c r="E30" s="16" t="s">
        <v>673</v>
      </c>
      <c r="F30" s="21">
        <v>-1.47E-2</v>
      </c>
      <c r="G30" s="16" t="s">
        <v>674</v>
      </c>
      <c r="H30" s="16" t="s">
        <v>753</v>
      </c>
    </row>
    <row r="31" spans="1:8">
      <c r="A31" s="15">
        <v>15</v>
      </c>
      <c r="B31" s="15" t="s">
        <v>346</v>
      </c>
      <c r="D31" s="16" t="s">
        <v>754</v>
      </c>
      <c r="E31" s="16" t="s">
        <v>755</v>
      </c>
      <c r="F31" s="20">
        <v>-0.03</v>
      </c>
      <c r="G31" s="16" t="s">
        <v>756</v>
      </c>
    </row>
    <row r="32" spans="1:8">
      <c r="A32" s="15">
        <v>16</v>
      </c>
      <c r="B32" s="15" t="s">
        <v>678</v>
      </c>
      <c r="D32" s="16" t="s">
        <v>757</v>
      </c>
      <c r="E32" s="16" t="s">
        <v>758</v>
      </c>
      <c r="F32" s="16" t="s">
        <v>759</v>
      </c>
      <c r="G32" s="16" t="s">
        <v>757</v>
      </c>
    </row>
  </sheetData>
  <mergeCells count="3">
    <mergeCell ref="D1:E1"/>
    <mergeCell ref="F1:G1"/>
    <mergeCell ref="A1:C1"/>
  </mergeCells>
  <conditionalFormatting sqref="B21">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0995-CF4D-4EAB-A265-68C2B168A541}">
  <dimension ref="A1:C71"/>
  <sheetViews>
    <sheetView topLeftCell="A60" workbookViewId="0"/>
  </sheetViews>
  <sheetFormatPr defaultRowHeight="14.5"/>
  <cols>
    <col min="1" max="1" width="23.54296875" customWidth="1"/>
    <col min="2" max="2" width="96.81640625" customWidth="1"/>
    <col min="3" max="3" width="19.81640625" customWidth="1"/>
  </cols>
  <sheetData>
    <row r="1" spans="1:3">
      <c r="A1" s="25" t="s">
        <v>577</v>
      </c>
      <c r="B1" s="25" t="s">
        <v>760</v>
      </c>
      <c r="C1" s="25" t="s">
        <v>761</v>
      </c>
    </row>
    <row r="2" spans="1:3">
      <c r="A2" s="25" t="s">
        <v>762</v>
      </c>
      <c r="B2" t="s">
        <v>763</v>
      </c>
      <c r="C2" t="s">
        <v>521</v>
      </c>
    </row>
    <row r="3" spans="1:3">
      <c r="A3" s="25" t="s">
        <v>346</v>
      </c>
      <c r="B3" t="s">
        <v>764</v>
      </c>
      <c r="C3" t="s">
        <v>521</v>
      </c>
    </row>
    <row r="4" spans="1:3">
      <c r="B4" t="s">
        <v>765</v>
      </c>
      <c r="C4" t="s">
        <v>568</v>
      </c>
    </row>
    <row r="5" spans="1:3">
      <c r="B5" t="s">
        <v>766</v>
      </c>
      <c r="C5" t="s">
        <v>533</v>
      </c>
    </row>
    <row r="6" spans="1:3">
      <c r="A6" s="25" t="s">
        <v>678</v>
      </c>
      <c r="B6" t="s">
        <v>767</v>
      </c>
      <c r="C6" t="s">
        <v>521</v>
      </c>
    </row>
    <row r="7" spans="1:3">
      <c r="B7" t="s">
        <v>768</v>
      </c>
    </row>
    <row r="8" spans="1:3">
      <c r="B8" t="s">
        <v>769</v>
      </c>
    </row>
    <row r="9" spans="1:3">
      <c r="A9" s="25" t="s">
        <v>320</v>
      </c>
      <c r="B9" t="s">
        <v>770</v>
      </c>
      <c r="C9" t="s">
        <v>507</v>
      </c>
    </row>
    <row r="10" spans="1:3">
      <c r="B10" t="s">
        <v>771</v>
      </c>
      <c r="C10" t="s">
        <v>568</v>
      </c>
    </row>
    <row r="11" spans="1:3">
      <c r="C11" t="s">
        <v>516</v>
      </c>
    </row>
    <row r="12" spans="1:3">
      <c r="C12" t="s">
        <v>568</v>
      </c>
    </row>
    <row r="13" spans="1:3">
      <c r="C13" t="s">
        <v>772</v>
      </c>
    </row>
    <row r="14" spans="1:3">
      <c r="C14" t="s">
        <v>568</v>
      </c>
    </row>
    <row r="15" spans="1:3">
      <c r="C15" t="s">
        <v>533</v>
      </c>
    </row>
    <row r="16" spans="1:3">
      <c r="A16" s="25" t="s">
        <v>586</v>
      </c>
      <c r="B16" t="s">
        <v>773</v>
      </c>
      <c r="C16" t="s">
        <v>516</v>
      </c>
    </row>
    <row r="17" spans="1:3">
      <c r="B17" t="s">
        <v>774</v>
      </c>
    </row>
    <row r="18" spans="1:3">
      <c r="B18" t="s">
        <v>775</v>
      </c>
    </row>
    <row r="19" spans="1:3">
      <c r="B19" t="s">
        <v>516</v>
      </c>
    </row>
    <row r="20" spans="1:3">
      <c r="A20" s="25" t="s">
        <v>591</v>
      </c>
      <c r="B20" t="s">
        <v>776</v>
      </c>
      <c r="C20" t="s">
        <v>772</v>
      </c>
    </row>
    <row r="21" spans="1:3">
      <c r="B21" t="s">
        <v>777</v>
      </c>
    </row>
    <row r="22" spans="1:3">
      <c r="B22" t="s">
        <v>778</v>
      </c>
    </row>
    <row r="23" spans="1:3">
      <c r="B23" t="s">
        <v>772</v>
      </c>
    </row>
    <row r="24" spans="1:3">
      <c r="A24" s="25" t="s">
        <v>596</v>
      </c>
      <c r="B24" t="s">
        <v>779</v>
      </c>
      <c r="C24" t="s">
        <v>533</v>
      </c>
    </row>
    <row r="25" spans="1:3">
      <c r="A25" s="25" t="s">
        <v>415</v>
      </c>
      <c r="B25" t="s">
        <v>780</v>
      </c>
      <c r="C25" t="s">
        <v>533</v>
      </c>
    </row>
    <row r="26" spans="1:3">
      <c r="C26" t="s">
        <v>568</v>
      </c>
    </row>
    <row r="27" spans="1:3">
      <c r="C27" t="s">
        <v>521</v>
      </c>
    </row>
    <row r="28" spans="1:3">
      <c r="A28" s="25" t="s">
        <v>781</v>
      </c>
      <c r="B28" t="s">
        <v>782</v>
      </c>
      <c r="C28" t="s">
        <v>516</v>
      </c>
    </row>
    <row r="29" spans="1:3">
      <c r="A29" s="25" t="s">
        <v>783</v>
      </c>
      <c r="B29" t="s">
        <v>784</v>
      </c>
      <c r="C29" t="s">
        <v>507</v>
      </c>
    </row>
    <row r="30" spans="1:3">
      <c r="B30" t="s">
        <v>507</v>
      </c>
      <c r="C30" t="s">
        <v>568</v>
      </c>
    </row>
    <row r="31" spans="1:3">
      <c r="B31" t="s">
        <v>785</v>
      </c>
      <c r="C31" t="s">
        <v>521</v>
      </c>
    </row>
    <row r="32" spans="1:3">
      <c r="B32" t="s">
        <v>521</v>
      </c>
    </row>
    <row r="33" spans="1:3">
      <c r="A33" s="25" t="s">
        <v>324</v>
      </c>
      <c r="B33" t="s">
        <v>786</v>
      </c>
      <c r="C33" t="s">
        <v>772</v>
      </c>
    </row>
    <row r="34" spans="1:3">
      <c r="C34" t="s">
        <v>568</v>
      </c>
    </row>
    <row r="35" spans="1:3">
      <c r="C35" t="s">
        <v>533</v>
      </c>
    </row>
    <row r="36" spans="1:3">
      <c r="A36" s="25" t="s">
        <v>107</v>
      </c>
      <c r="B36" t="s">
        <v>787</v>
      </c>
      <c r="C36" t="s">
        <v>772</v>
      </c>
    </row>
    <row r="37" spans="1:3">
      <c r="B37" t="s">
        <v>772</v>
      </c>
    </row>
    <row r="38" spans="1:3">
      <c r="B38" t="s">
        <v>788</v>
      </c>
    </row>
    <row r="39" spans="1:3">
      <c r="A39" s="25" t="s">
        <v>329</v>
      </c>
      <c r="B39" t="s">
        <v>789</v>
      </c>
      <c r="C39" t="s">
        <v>790</v>
      </c>
    </row>
    <row r="40" spans="1:3">
      <c r="C40" t="s">
        <v>772</v>
      </c>
    </row>
    <row r="41" spans="1:3">
      <c r="C41" t="s">
        <v>568</v>
      </c>
    </row>
    <row r="42" spans="1:3">
      <c r="C42" t="s">
        <v>516</v>
      </c>
    </row>
    <row r="43" spans="1:3">
      <c r="C43" t="s">
        <v>568</v>
      </c>
    </row>
    <row r="44" spans="1:3">
      <c r="C44" t="s">
        <v>533</v>
      </c>
    </row>
    <row r="45" spans="1:3">
      <c r="A45" s="25" t="s">
        <v>622</v>
      </c>
      <c r="B45" t="s">
        <v>791</v>
      </c>
      <c r="C45" t="s">
        <v>521</v>
      </c>
    </row>
    <row r="46" spans="1:3">
      <c r="B46" t="s">
        <v>765</v>
      </c>
    </row>
    <row r="47" spans="1:3">
      <c r="B47" t="s">
        <v>792</v>
      </c>
    </row>
    <row r="48" spans="1:3">
      <c r="A48" s="25" t="s">
        <v>631</v>
      </c>
      <c r="B48" t="s">
        <v>793</v>
      </c>
      <c r="C48" t="s">
        <v>521</v>
      </c>
    </row>
    <row r="49" spans="1:3">
      <c r="C49" t="s">
        <v>794</v>
      </c>
    </row>
    <row r="50" spans="1:3">
      <c r="A50" s="25" t="s">
        <v>335</v>
      </c>
      <c r="B50" t="s">
        <v>795</v>
      </c>
      <c r="C50" t="s">
        <v>521</v>
      </c>
    </row>
    <row r="51" spans="1:3">
      <c r="C51" t="s">
        <v>796</v>
      </c>
    </row>
    <row r="52" spans="1:3">
      <c r="C52" t="s">
        <v>522</v>
      </c>
    </row>
    <row r="53" spans="1:3">
      <c r="A53" s="25" t="s">
        <v>339</v>
      </c>
      <c r="B53" t="s">
        <v>797</v>
      </c>
      <c r="C53" t="s">
        <v>772</v>
      </c>
    </row>
    <row r="54" spans="1:3">
      <c r="B54" t="s">
        <v>772</v>
      </c>
    </row>
    <row r="55" spans="1:3">
      <c r="A55" s="25" t="s">
        <v>388</v>
      </c>
      <c r="B55" t="s">
        <v>798</v>
      </c>
      <c r="C55" t="s">
        <v>507</v>
      </c>
    </row>
    <row r="56" spans="1:3">
      <c r="B56" t="s">
        <v>507</v>
      </c>
    </row>
    <row r="57" spans="1:3">
      <c r="B57" t="s">
        <v>785</v>
      </c>
    </row>
    <row r="58" spans="1:3">
      <c r="B58" t="s">
        <v>521</v>
      </c>
    </row>
    <row r="59" spans="1:3">
      <c r="B59" t="s">
        <v>799</v>
      </c>
    </row>
    <row r="60" spans="1:3">
      <c r="A60" s="25" t="s">
        <v>391</v>
      </c>
      <c r="B60" t="s">
        <v>800</v>
      </c>
      <c r="C60" t="s">
        <v>516</v>
      </c>
    </row>
    <row r="61" spans="1:3">
      <c r="B61" t="s">
        <v>516</v>
      </c>
    </row>
    <row r="62" spans="1:3">
      <c r="A62" s="25" t="s">
        <v>659</v>
      </c>
      <c r="B62" t="s">
        <v>801</v>
      </c>
      <c r="C62" t="s">
        <v>507</v>
      </c>
    </row>
    <row r="63" spans="1:3">
      <c r="B63" t="s">
        <v>802</v>
      </c>
    </row>
    <row r="64" spans="1:3">
      <c r="B64" t="s">
        <v>803</v>
      </c>
    </row>
    <row r="65" spans="1:3">
      <c r="B65" t="s">
        <v>804</v>
      </c>
    </row>
    <row r="66" spans="1:3">
      <c r="A66" s="25" t="s">
        <v>805</v>
      </c>
      <c r="B66" t="s">
        <v>806</v>
      </c>
      <c r="C66" t="s">
        <v>507</v>
      </c>
    </row>
    <row r="67" spans="1:3">
      <c r="B67" t="s">
        <v>807</v>
      </c>
    </row>
    <row r="68" spans="1:3">
      <c r="B68" t="s">
        <v>808</v>
      </c>
    </row>
    <row r="69" spans="1:3">
      <c r="A69" s="25" t="s">
        <v>809</v>
      </c>
      <c r="B69" t="s">
        <v>810</v>
      </c>
      <c r="C69" t="s">
        <v>516</v>
      </c>
    </row>
    <row r="70" spans="1:3">
      <c r="B70" t="s">
        <v>774</v>
      </c>
      <c r="C70" t="s">
        <v>568</v>
      </c>
    </row>
    <row r="71" spans="1:3">
      <c r="B71" t="s">
        <v>811</v>
      </c>
      <c r="C71" t="s">
        <v>507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932C6-47FD-4321-A8F5-271F3A82D248}">
  <dimension ref="A1:F5"/>
  <sheetViews>
    <sheetView showGridLines="0" workbookViewId="0">
      <pane xSplit="2" ySplit="1" topLeftCell="C9" activePane="bottomRight" state="frozen"/>
      <selection pane="topRight" activeCell="C1" sqref="C1"/>
      <selection pane="bottomLeft" activeCell="A2" sqref="A2"/>
      <selection pane="bottomRight" activeCell="C2" sqref="C2"/>
    </sheetView>
  </sheetViews>
  <sheetFormatPr defaultColWidth="8.7265625" defaultRowHeight="13"/>
  <cols>
    <col min="1" max="1" width="3.54296875" style="23" bestFit="1" customWidth="1"/>
    <col min="2" max="2" width="12" style="24" bestFit="1" customWidth="1"/>
    <col min="3" max="6" width="37.54296875" style="23" customWidth="1"/>
    <col min="7" max="16384" width="8.7265625" style="23"/>
  </cols>
  <sheetData>
    <row r="1" spans="1:6" ht="26">
      <c r="A1" s="6" t="s">
        <v>812</v>
      </c>
      <c r="B1" s="6" t="s">
        <v>2</v>
      </c>
      <c r="C1" s="6" t="s">
        <v>581</v>
      </c>
      <c r="D1" s="6" t="s">
        <v>582</v>
      </c>
      <c r="E1" s="6" t="s">
        <v>583</v>
      </c>
      <c r="F1" s="6" t="s">
        <v>584</v>
      </c>
    </row>
    <row r="2" spans="1:6" s="10" customFormat="1" ht="123" customHeight="1">
      <c r="A2" s="15">
        <f>ROW(A1)</f>
        <v>1</v>
      </c>
      <c r="B2" s="16" t="s">
        <v>813</v>
      </c>
      <c r="C2" s="16" t="s">
        <v>814</v>
      </c>
      <c r="D2" s="16" t="s">
        <v>815</v>
      </c>
      <c r="E2" s="16" t="s">
        <v>816</v>
      </c>
      <c r="F2" s="16" t="s">
        <v>817</v>
      </c>
    </row>
    <row r="3" spans="1:6" s="10" customFormat="1" ht="156">
      <c r="A3" s="15">
        <f>ROW(A2)</f>
        <v>2</v>
      </c>
      <c r="B3" s="16" t="s">
        <v>818</v>
      </c>
      <c r="C3" s="16" t="s">
        <v>819</v>
      </c>
      <c r="D3" s="16" t="s">
        <v>820</v>
      </c>
      <c r="E3" s="16" t="s">
        <v>821</v>
      </c>
      <c r="F3" s="16" t="s">
        <v>822</v>
      </c>
    </row>
    <row r="4" spans="1:6" s="10" customFormat="1" ht="208">
      <c r="A4" s="15">
        <f>ROW(A3)</f>
        <v>3</v>
      </c>
      <c r="B4" s="16" t="s">
        <v>823</v>
      </c>
      <c r="C4" s="16" t="s">
        <v>824</v>
      </c>
      <c r="D4" s="16" t="s">
        <v>825</v>
      </c>
      <c r="E4" s="16" t="s">
        <v>826</v>
      </c>
      <c r="F4" s="16" t="s">
        <v>827</v>
      </c>
    </row>
    <row r="5" spans="1:6" s="10" customFormat="1" ht="39">
      <c r="A5" s="15">
        <f>ROW(A4)</f>
        <v>4</v>
      </c>
      <c r="B5" s="16" t="s">
        <v>828</v>
      </c>
      <c r="C5" s="16" t="s">
        <v>829</v>
      </c>
      <c r="D5" s="16" t="s">
        <v>830</v>
      </c>
      <c r="E5" s="16" t="s">
        <v>831</v>
      </c>
      <c r="F5" s="16" t="s">
        <v>832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0A50-7AE6-437A-8ADE-809E7D49650A}">
  <dimension ref="A1:F5"/>
  <sheetViews>
    <sheetView showGridLines="0" workbookViewId="0">
      <selection activeCell="F15" sqref="F15"/>
    </sheetView>
  </sheetViews>
  <sheetFormatPr defaultColWidth="8.7265625" defaultRowHeight="14.5"/>
  <cols>
    <col min="1" max="1" width="3.54296875" bestFit="1" customWidth="1"/>
    <col min="2" max="2" width="14.54296875" bestFit="1" customWidth="1"/>
    <col min="3" max="3" width="11.54296875" bestFit="1" customWidth="1"/>
    <col min="4" max="4" width="11" bestFit="1" customWidth="1"/>
    <col min="5" max="5" width="12.1796875" bestFit="1" customWidth="1"/>
    <col min="6" max="6" width="14.1796875" bestFit="1" customWidth="1"/>
  </cols>
  <sheetData>
    <row r="1" spans="1:6">
      <c r="A1" s="5" t="s">
        <v>812</v>
      </c>
      <c r="B1" s="5" t="s">
        <v>833</v>
      </c>
      <c r="C1" s="5" t="s">
        <v>581</v>
      </c>
      <c r="D1" s="5" t="s">
        <v>582</v>
      </c>
      <c r="E1" s="5" t="s">
        <v>583</v>
      </c>
      <c r="F1" s="5" t="s">
        <v>584</v>
      </c>
    </row>
    <row r="2" spans="1:6">
      <c r="A2" s="8">
        <f>ROW(A1)</f>
        <v>1</v>
      </c>
      <c r="B2" s="8" t="s">
        <v>834</v>
      </c>
      <c r="C2" s="26">
        <v>0.35</v>
      </c>
      <c r="D2" s="26">
        <v>0.4</v>
      </c>
      <c r="E2" s="26">
        <v>0.15</v>
      </c>
      <c r="F2" s="26">
        <v>0.1</v>
      </c>
    </row>
    <row r="3" spans="1:6">
      <c r="A3" s="8">
        <f>ROW(A2)</f>
        <v>2</v>
      </c>
      <c r="B3" s="8" t="s">
        <v>835</v>
      </c>
      <c r="C3" s="26">
        <v>0.45</v>
      </c>
      <c r="D3" s="26">
        <v>0.4</v>
      </c>
      <c r="E3" s="26">
        <v>0.1</v>
      </c>
      <c r="F3" s="26">
        <v>0.05</v>
      </c>
    </row>
    <row r="4" spans="1:6">
      <c r="A4" s="8">
        <f>ROW(A3)</f>
        <v>3</v>
      </c>
      <c r="B4" s="8" t="s">
        <v>320</v>
      </c>
      <c r="C4" s="26">
        <v>0.78</v>
      </c>
      <c r="D4" s="26">
        <v>0.65</v>
      </c>
      <c r="E4" s="26">
        <v>0.65</v>
      </c>
      <c r="F4" s="26">
        <v>0.7</v>
      </c>
    </row>
    <row r="5" spans="1:6">
      <c r="A5" s="8">
        <f>ROW(A4)</f>
        <v>4</v>
      </c>
      <c r="B5" s="8" t="s">
        <v>836</v>
      </c>
      <c r="C5" s="26">
        <v>0.5</v>
      </c>
      <c r="D5" s="26">
        <v>0.3</v>
      </c>
      <c r="E5" s="26">
        <v>0.12</v>
      </c>
      <c r="F5" s="26">
        <v>0.08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1682-7BBB-4165-A2E2-08E8639B528A}">
  <dimension ref="A1:B133"/>
  <sheetViews>
    <sheetView showGridLines="0" workbookViewId="0">
      <pane ySplit="1" topLeftCell="A2" activePane="bottomLeft" state="frozen"/>
      <selection pane="bottomLeft" activeCell="I12" sqref="I12"/>
    </sheetView>
  </sheetViews>
  <sheetFormatPr defaultRowHeight="14.5"/>
  <cols>
    <col min="1" max="1" width="23.26953125" style="3" customWidth="1"/>
    <col min="2" max="2" width="11.81640625" style="3" bestFit="1" customWidth="1"/>
  </cols>
  <sheetData>
    <row r="1" spans="1:2">
      <c r="A1" s="6" t="s">
        <v>64</v>
      </c>
      <c r="B1" s="6" t="s">
        <v>313</v>
      </c>
    </row>
    <row r="2" spans="1:2">
      <c r="A2" s="3" t="s">
        <v>175</v>
      </c>
      <c r="B2" s="3" t="s">
        <v>837</v>
      </c>
    </row>
    <row r="3" spans="1:2">
      <c r="A3" s="3" t="s">
        <v>188</v>
      </c>
      <c r="B3" s="3" t="s">
        <v>837</v>
      </c>
    </row>
    <row r="4" spans="1:2">
      <c r="A4" s="3" t="s">
        <v>207</v>
      </c>
      <c r="B4" s="3" t="s">
        <v>837</v>
      </c>
    </row>
    <row r="5" spans="1:2">
      <c r="A5" s="3" t="s">
        <v>261</v>
      </c>
      <c r="B5" s="3" t="s">
        <v>837</v>
      </c>
    </row>
    <row r="6" spans="1:2">
      <c r="A6" s="3" t="s">
        <v>126</v>
      </c>
      <c r="B6" s="3" t="s">
        <v>132</v>
      </c>
    </row>
    <row r="7" spans="1:2">
      <c r="A7" s="3" t="s">
        <v>132</v>
      </c>
      <c r="B7" s="3" t="s">
        <v>132</v>
      </c>
    </row>
    <row r="8" spans="1:2">
      <c r="A8" s="3" t="s">
        <v>151</v>
      </c>
      <c r="B8" s="3" t="s">
        <v>132</v>
      </c>
    </row>
    <row r="9" spans="1:2">
      <c r="A9" s="3" t="s">
        <v>69</v>
      </c>
      <c r="B9" s="3" t="s">
        <v>69</v>
      </c>
    </row>
    <row r="10" spans="1:2">
      <c r="A10" s="3" t="s">
        <v>95</v>
      </c>
      <c r="B10" s="3" t="s">
        <v>69</v>
      </c>
    </row>
    <row r="11" spans="1:2">
      <c r="A11" s="3" t="s">
        <v>116</v>
      </c>
      <c r="B11" s="3" t="s">
        <v>69</v>
      </c>
    </row>
    <row r="12" spans="1:2">
      <c r="A12" s="3" t="s">
        <v>196</v>
      </c>
      <c r="B12" s="3" t="s">
        <v>69</v>
      </c>
    </row>
    <row r="13" spans="1:2">
      <c r="A13" s="3" t="s">
        <v>201</v>
      </c>
      <c r="B13" s="3" t="s">
        <v>69</v>
      </c>
    </row>
    <row r="14" spans="1:2">
      <c r="A14" s="3" t="s">
        <v>225</v>
      </c>
      <c r="B14" s="3" t="s">
        <v>69</v>
      </c>
    </row>
    <row r="15" spans="1:2" ht="26">
      <c r="A15" s="3" t="s">
        <v>158</v>
      </c>
      <c r="B15" s="3" t="s">
        <v>838</v>
      </c>
    </row>
    <row r="16" spans="1:2">
      <c r="A16" s="3" t="s">
        <v>171</v>
      </c>
      <c r="B16" s="3" t="s">
        <v>839</v>
      </c>
    </row>
    <row r="17" spans="1:2">
      <c r="A17" s="3" t="s">
        <v>233</v>
      </c>
      <c r="B17" s="3" t="s">
        <v>233</v>
      </c>
    </row>
    <row r="18" spans="1:2">
      <c r="A18" s="3" t="s">
        <v>239</v>
      </c>
      <c r="B18" s="3" t="s">
        <v>233</v>
      </c>
    </row>
    <row r="19" spans="1:2">
      <c r="A19"/>
      <c r="B19"/>
    </row>
    <row r="20" spans="1:2">
      <c r="A20"/>
      <c r="B20"/>
    </row>
    <row r="21" spans="1:2">
      <c r="A21"/>
      <c r="B21"/>
    </row>
    <row r="22" spans="1:2">
      <c r="A22"/>
      <c r="B22"/>
    </row>
    <row r="23" spans="1:2">
      <c r="A23"/>
      <c r="B23"/>
    </row>
    <row r="24" spans="1:2">
      <c r="A24"/>
      <c r="B24"/>
    </row>
    <row r="25" spans="1:2">
      <c r="A25"/>
      <c r="B25"/>
    </row>
    <row r="26" spans="1:2">
      <c r="A26"/>
      <c r="B26"/>
    </row>
    <row r="27" spans="1:2">
      <c r="A27"/>
      <c r="B27"/>
    </row>
    <row r="28" spans="1:2">
      <c r="A28"/>
      <c r="B28"/>
    </row>
    <row r="29" spans="1:2">
      <c r="A29"/>
      <c r="B29"/>
    </row>
    <row r="30" spans="1:2">
      <c r="A30"/>
      <c r="B30"/>
    </row>
    <row r="31" spans="1:2">
      <c r="A31"/>
      <c r="B31"/>
    </row>
    <row r="32" spans="1:2">
      <c r="A32"/>
      <c r="B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row>
    <row r="58" spans="1:2">
      <c r="A58"/>
    </row>
    <row r="59" spans="1:2">
      <c r="A59"/>
    </row>
    <row r="60" spans="1:2">
      <c r="A60"/>
    </row>
    <row r="61" spans="1:2">
      <c r="A61"/>
    </row>
    <row r="62" spans="1:2">
      <c r="A62"/>
    </row>
    <row r="63" spans="1:2">
      <c r="A63"/>
    </row>
    <row r="64" spans="1:2">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sheetData>
  <autoFilter ref="A1:B17" xr:uid="{59541682-7BBB-4165-A2E2-08E8639B528A}">
    <sortState xmlns:xlrd2="http://schemas.microsoft.com/office/spreadsheetml/2017/richdata2" ref="A2:B18">
      <sortCondition ref="B1:B17"/>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4219-7C9F-49E6-80C3-7D48D6883019}">
  <dimension ref="A1:AF33"/>
  <sheetViews>
    <sheetView showGridLines="0" zoomScale="80" zoomScaleNormal="80" workbookViewId="0">
      <pane xSplit="1" ySplit="2" topLeftCell="B3" activePane="bottomRight" state="frozen"/>
      <selection pane="topRight" activeCell="B1" sqref="B1"/>
      <selection pane="bottomLeft" activeCell="A3" sqref="A3"/>
      <selection pane="bottomRight" activeCell="A11" sqref="A11"/>
    </sheetView>
  </sheetViews>
  <sheetFormatPr defaultColWidth="8.7265625" defaultRowHeight="13"/>
  <cols>
    <col min="1" max="1" width="24.7265625" style="107" customWidth="1"/>
    <col min="2" max="2" width="35.1796875" style="107" bestFit="1" customWidth="1"/>
    <col min="3" max="3" width="20.81640625" style="82" bestFit="1" customWidth="1"/>
    <col min="4" max="4" width="20" style="82" bestFit="1" customWidth="1"/>
    <col min="5" max="5" width="18.7265625" style="82" bestFit="1" customWidth="1"/>
    <col min="6" max="6" width="20.453125" style="82" bestFit="1" customWidth="1"/>
    <col min="7" max="7" width="31.7265625" style="107" bestFit="1" customWidth="1"/>
    <col min="8" max="8" width="8.7265625" style="82"/>
    <col min="9" max="9" width="13.26953125" style="82" bestFit="1" customWidth="1"/>
    <col min="10" max="12" width="13.1796875" style="82" bestFit="1" customWidth="1"/>
    <col min="13" max="13" width="14.26953125" style="82" bestFit="1" customWidth="1"/>
    <col min="14" max="14" width="8.7265625" style="82"/>
    <col min="15" max="15" width="15.54296875" style="82" bestFit="1" customWidth="1"/>
    <col min="16" max="16" width="11.81640625" style="82" bestFit="1" customWidth="1"/>
    <col min="17" max="17" width="11" style="82" bestFit="1" customWidth="1"/>
    <col min="18" max="18" width="12.26953125" style="82" bestFit="1" customWidth="1"/>
    <col min="19" max="19" width="14.26953125" style="82" bestFit="1" customWidth="1"/>
    <col min="20" max="21" width="8.7265625" style="82"/>
    <col min="22" max="22" width="16.1796875" style="82" bestFit="1" customWidth="1"/>
    <col min="23" max="23" width="11.81640625" style="82" bestFit="1" customWidth="1"/>
    <col min="24" max="24" width="18.453125" style="82" bestFit="1" customWidth="1"/>
    <col min="25" max="25" width="19.1796875" style="82" bestFit="1" customWidth="1"/>
    <col min="26" max="26" width="14.26953125" style="82" bestFit="1" customWidth="1"/>
    <col min="27" max="27" width="8.7265625" style="82"/>
    <col min="28" max="28" width="15.54296875" style="82" bestFit="1" customWidth="1"/>
    <col min="29" max="29" width="11.81640625" style="82" bestFit="1" customWidth="1"/>
    <col min="30" max="30" width="11" style="82" bestFit="1" customWidth="1"/>
    <col min="31" max="31" width="12.26953125" style="82" bestFit="1" customWidth="1"/>
    <col min="32" max="32" width="14.26953125" style="82" bestFit="1" customWidth="1"/>
    <col min="33" max="16384" width="8.7265625" style="82"/>
  </cols>
  <sheetData>
    <row r="1" spans="1:32">
      <c r="A1" s="117" t="s">
        <v>577</v>
      </c>
      <c r="B1" s="118" t="s">
        <v>840</v>
      </c>
      <c r="C1" s="116" t="s">
        <v>578</v>
      </c>
      <c r="D1" s="116"/>
      <c r="E1" s="116" t="s">
        <v>579</v>
      </c>
      <c r="F1" s="116"/>
      <c r="G1" s="117" t="s">
        <v>4</v>
      </c>
      <c r="I1" s="120" t="s">
        <v>841</v>
      </c>
      <c r="J1" s="116" t="s">
        <v>578</v>
      </c>
      <c r="K1" s="116"/>
      <c r="L1" s="116" t="s">
        <v>579</v>
      </c>
      <c r="M1" s="116"/>
    </row>
    <row r="2" spans="1:32">
      <c r="A2" s="117"/>
      <c r="B2" s="119"/>
      <c r="C2" s="5" t="s">
        <v>581</v>
      </c>
      <c r="D2" s="5" t="s">
        <v>582</v>
      </c>
      <c r="E2" s="5" t="s">
        <v>583</v>
      </c>
      <c r="F2" s="5" t="s">
        <v>584</v>
      </c>
      <c r="G2" s="117"/>
      <c r="I2" s="120"/>
      <c r="J2" s="5" t="s">
        <v>581</v>
      </c>
      <c r="K2" s="5" t="s">
        <v>582</v>
      </c>
      <c r="L2" s="5" t="s">
        <v>583</v>
      </c>
      <c r="M2" s="5" t="s">
        <v>584</v>
      </c>
    </row>
    <row r="3" spans="1:32" ht="26">
      <c r="A3" s="83" t="s">
        <v>431</v>
      </c>
      <c r="B3" s="83" t="s">
        <v>432</v>
      </c>
      <c r="C3" s="84" t="s">
        <v>842</v>
      </c>
      <c r="D3" s="84" t="s">
        <v>842</v>
      </c>
      <c r="E3" s="84" t="s">
        <v>843</v>
      </c>
      <c r="F3" s="84" t="s">
        <v>844</v>
      </c>
      <c r="G3" s="85"/>
      <c r="I3" s="86" t="s">
        <v>845</v>
      </c>
      <c r="J3" s="87">
        <v>100</v>
      </c>
      <c r="K3" s="87">
        <v>100</v>
      </c>
      <c r="L3" s="87">
        <v>100</v>
      </c>
      <c r="M3" s="87">
        <v>100</v>
      </c>
    </row>
    <row r="4" spans="1:32" ht="32">
      <c r="A4" s="83" t="s">
        <v>846</v>
      </c>
      <c r="B4" s="83" t="s">
        <v>425</v>
      </c>
      <c r="C4" s="84" t="s">
        <v>847</v>
      </c>
      <c r="D4" s="84" t="s">
        <v>847</v>
      </c>
      <c r="E4" s="84" t="s">
        <v>848</v>
      </c>
      <c r="F4" s="84" t="s">
        <v>848</v>
      </c>
      <c r="G4" s="85"/>
      <c r="I4" s="86" t="s">
        <v>849</v>
      </c>
      <c r="J4" s="88" t="s">
        <v>850</v>
      </c>
      <c r="K4" s="88" t="s">
        <v>850</v>
      </c>
      <c r="L4" s="88" t="s">
        <v>851</v>
      </c>
      <c r="M4" s="88" t="s">
        <v>852</v>
      </c>
    </row>
    <row r="5" spans="1:32" ht="32">
      <c r="A5" s="89" t="s">
        <v>853</v>
      </c>
      <c r="B5" s="89" t="s">
        <v>854</v>
      </c>
      <c r="C5" s="90" t="s">
        <v>848</v>
      </c>
      <c r="D5" s="90" t="s">
        <v>855</v>
      </c>
      <c r="E5" s="90" t="s">
        <v>856</v>
      </c>
      <c r="F5" s="90" t="s">
        <v>855</v>
      </c>
      <c r="G5" s="89"/>
      <c r="I5" s="86" t="s">
        <v>857</v>
      </c>
      <c r="J5" s="88" t="s">
        <v>858</v>
      </c>
      <c r="K5" s="88" t="s">
        <v>858</v>
      </c>
      <c r="L5" s="88" t="s">
        <v>859</v>
      </c>
      <c r="M5" s="88" t="s">
        <v>860</v>
      </c>
    </row>
    <row r="6" spans="1:32" ht="39">
      <c r="A6" s="91" t="s">
        <v>427</v>
      </c>
      <c r="B6" s="91" t="s">
        <v>428</v>
      </c>
      <c r="C6" s="92" t="s">
        <v>861</v>
      </c>
      <c r="D6" s="93">
        <v>3.0000000000000001E-3</v>
      </c>
      <c r="E6" s="94">
        <v>0.12</v>
      </c>
      <c r="F6" s="94">
        <v>-0.05</v>
      </c>
      <c r="G6" s="89" t="s">
        <v>862</v>
      </c>
      <c r="I6" s="86" t="s">
        <v>863</v>
      </c>
      <c r="J6" s="88" t="s">
        <v>864</v>
      </c>
      <c r="K6" s="88" t="s">
        <v>864</v>
      </c>
      <c r="L6" s="88" t="s">
        <v>865</v>
      </c>
      <c r="M6" s="88" t="s">
        <v>866</v>
      </c>
    </row>
    <row r="7" spans="1:32" ht="26">
      <c r="A7" s="83" t="s">
        <v>429</v>
      </c>
      <c r="B7" s="83" t="s">
        <v>430</v>
      </c>
      <c r="C7" s="84" t="s">
        <v>867</v>
      </c>
      <c r="D7" s="84" t="s">
        <v>867</v>
      </c>
      <c r="E7" s="84" t="s">
        <v>867</v>
      </c>
      <c r="F7" s="84" t="s">
        <v>867</v>
      </c>
      <c r="G7" s="85"/>
      <c r="I7" s="95" t="s">
        <v>868</v>
      </c>
      <c r="J7" s="96">
        <v>4000</v>
      </c>
      <c r="K7" s="96">
        <v>2500</v>
      </c>
      <c r="L7" s="96">
        <v>2000</v>
      </c>
      <c r="M7" s="96">
        <v>1500</v>
      </c>
    </row>
    <row r="8" spans="1:32" ht="65">
      <c r="A8" s="97" t="s">
        <v>869</v>
      </c>
      <c r="B8" s="97" t="s">
        <v>870</v>
      </c>
      <c r="C8" s="97" t="s">
        <v>871</v>
      </c>
      <c r="D8" s="97" t="s">
        <v>872</v>
      </c>
      <c r="E8" s="97" t="s">
        <v>873</v>
      </c>
      <c r="F8" s="97" t="s">
        <v>874</v>
      </c>
      <c r="G8" s="98" t="s">
        <v>875</v>
      </c>
    </row>
    <row r="9" spans="1:32" ht="26">
      <c r="A9" s="83" t="s">
        <v>876</v>
      </c>
      <c r="B9" s="83" t="s">
        <v>877</v>
      </c>
      <c r="C9" s="84" t="s">
        <v>878</v>
      </c>
      <c r="D9" s="84" t="s">
        <v>878</v>
      </c>
      <c r="E9" s="84" t="s">
        <v>879</v>
      </c>
      <c r="F9" s="84" t="s">
        <v>880</v>
      </c>
      <c r="G9" s="85"/>
      <c r="I9" s="99">
        <v>2023</v>
      </c>
      <c r="J9" s="5" t="s">
        <v>581</v>
      </c>
      <c r="K9" s="5" t="s">
        <v>582</v>
      </c>
      <c r="L9" s="5" t="s">
        <v>583</v>
      </c>
      <c r="M9" s="5" t="s">
        <v>584</v>
      </c>
      <c r="O9" s="99">
        <v>2023</v>
      </c>
      <c r="P9" s="5" t="s">
        <v>581</v>
      </c>
      <c r="Q9" s="5" t="s">
        <v>582</v>
      </c>
      <c r="R9" s="5" t="s">
        <v>583</v>
      </c>
      <c r="S9" s="5" t="s">
        <v>584</v>
      </c>
      <c r="V9" s="8">
        <v>2023</v>
      </c>
      <c r="W9" s="5" t="s">
        <v>581</v>
      </c>
      <c r="X9" s="5" t="s">
        <v>881</v>
      </c>
      <c r="Y9" s="5" t="s">
        <v>882</v>
      </c>
      <c r="Z9" s="5" t="s">
        <v>584</v>
      </c>
      <c r="AB9" s="99">
        <v>2023</v>
      </c>
      <c r="AC9" s="5" t="s">
        <v>581</v>
      </c>
      <c r="AD9" s="5" t="s">
        <v>582</v>
      </c>
      <c r="AE9" s="5" t="s">
        <v>583</v>
      </c>
      <c r="AF9" s="5" t="s">
        <v>584</v>
      </c>
    </row>
    <row r="10" spans="1:32" ht="26">
      <c r="A10" s="83" t="s">
        <v>883</v>
      </c>
      <c r="B10" s="83" t="s">
        <v>448</v>
      </c>
      <c r="C10" s="84" t="s">
        <v>884</v>
      </c>
      <c r="D10" s="84" t="s">
        <v>884</v>
      </c>
      <c r="E10" s="84" t="s">
        <v>878</v>
      </c>
      <c r="F10" s="84" t="s">
        <v>878</v>
      </c>
      <c r="G10" s="85"/>
      <c r="I10" s="86" t="s">
        <v>845</v>
      </c>
      <c r="J10" s="99">
        <v>100</v>
      </c>
      <c r="K10" s="99">
        <v>100</v>
      </c>
      <c r="L10" s="99">
        <v>100</v>
      </c>
      <c r="M10" s="99">
        <v>100</v>
      </c>
      <c r="O10" s="99" t="s">
        <v>431</v>
      </c>
      <c r="P10" s="100">
        <f>(J12+J13)/J10</f>
        <v>0.5</v>
      </c>
      <c r="Q10" s="100">
        <f t="shared" ref="Q10:S10" si="0">(K12+K13)/K10</f>
        <v>0.55000000000000004</v>
      </c>
      <c r="R10" s="100">
        <f t="shared" si="0"/>
        <v>0.45</v>
      </c>
      <c r="S10" s="100">
        <f t="shared" si="0"/>
        <v>0.43</v>
      </c>
      <c r="V10" s="86" t="s">
        <v>845</v>
      </c>
      <c r="W10" s="8">
        <f>ROUND(((W12+W13)*100)/(J12+J13),0)</f>
        <v>5576</v>
      </c>
      <c r="X10" s="8">
        <f t="shared" ref="X10:Z10" si="1">ROUND(((X12+X13)*100)/(K12+K13),0)</f>
        <v>2907</v>
      </c>
      <c r="Y10" s="8">
        <f t="shared" si="1"/>
        <v>2513</v>
      </c>
      <c r="Z10" s="8">
        <f t="shared" si="1"/>
        <v>2300</v>
      </c>
      <c r="AB10" s="99" t="s">
        <v>431</v>
      </c>
      <c r="AC10" s="100">
        <f>(W12+W13)/W10</f>
        <v>0.5</v>
      </c>
      <c r="AD10" s="100">
        <f t="shared" ref="AD10:AF10" si="2">(X12+X13)/X10</f>
        <v>0.55005159958720329</v>
      </c>
      <c r="AE10" s="100">
        <f t="shared" si="2"/>
        <v>0.45005968961400716</v>
      </c>
      <c r="AF10" s="100">
        <f t="shared" si="2"/>
        <v>0.43</v>
      </c>
    </row>
    <row r="11" spans="1:32" ht="26">
      <c r="A11" s="83" t="s">
        <v>885</v>
      </c>
      <c r="B11" s="83" t="s">
        <v>450</v>
      </c>
      <c r="C11" s="84" t="s">
        <v>886</v>
      </c>
      <c r="D11" s="84" t="s">
        <v>886</v>
      </c>
      <c r="E11" s="84" t="s">
        <v>886</v>
      </c>
      <c r="F11" s="84" t="s">
        <v>886</v>
      </c>
      <c r="G11" s="85"/>
      <c r="I11" s="86" t="s">
        <v>887</v>
      </c>
      <c r="J11" s="99">
        <f>J10-SUM(J12:J14)</f>
        <v>35</v>
      </c>
      <c r="K11" s="99">
        <f t="shared" ref="K11:M11" si="3">K10-SUM(K12:K14)</f>
        <v>25</v>
      </c>
      <c r="L11" s="99">
        <f t="shared" si="3"/>
        <v>50</v>
      </c>
      <c r="M11" s="99">
        <f t="shared" si="3"/>
        <v>37</v>
      </c>
      <c r="O11" s="99" t="s">
        <v>888</v>
      </c>
      <c r="P11" s="100">
        <f>J13/(J12+J13)</f>
        <v>0.26</v>
      </c>
      <c r="Q11" s="100">
        <f t="shared" ref="Q11:S11" si="4">K13/(K12+K13)</f>
        <v>0.27272727272727271</v>
      </c>
      <c r="R11" s="100">
        <f t="shared" si="4"/>
        <v>0.15555555555555556</v>
      </c>
      <c r="S11" s="100">
        <f t="shared" si="4"/>
        <v>0.11627906976744186</v>
      </c>
      <c r="V11" s="86" t="s">
        <v>887</v>
      </c>
      <c r="W11" s="99">
        <f t="shared" ref="W11:Z11" si="5">W10-SUM(W12:W14)</f>
        <v>1952</v>
      </c>
      <c r="X11" s="99">
        <f t="shared" si="5"/>
        <v>727</v>
      </c>
      <c r="Y11" s="99">
        <f t="shared" si="5"/>
        <v>1256</v>
      </c>
      <c r="Z11" s="99">
        <f t="shared" si="5"/>
        <v>851</v>
      </c>
      <c r="AB11" s="99" t="s">
        <v>888</v>
      </c>
      <c r="AC11" s="100">
        <f>W13/(W12+W13)</f>
        <v>0.26004304160688668</v>
      </c>
      <c r="AD11" s="100">
        <f t="shared" ref="AD11:AF11" si="6">X13/(X12+X13)</f>
        <v>0.27267041901188244</v>
      </c>
      <c r="AE11" s="100">
        <f t="shared" si="6"/>
        <v>0.15561450044208666</v>
      </c>
      <c r="AF11" s="100">
        <f t="shared" si="6"/>
        <v>0.11627906976744186</v>
      </c>
    </row>
    <row r="12" spans="1:32" ht="26">
      <c r="A12" s="83" t="s">
        <v>889</v>
      </c>
      <c r="B12" s="83" t="s">
        <v>452</v>
      </c>
      <c r="C12" s="84" t="s">
        <v>890</v>
      </c>
      <c r="D12" s="84" t="s">
        <v>890</v>
      </c>
      <c r="E12" s="84" t="s">
        <v>891</v>
      </c>
      <c r="F12" s="84" t="s">
        <v>892</v>
      </c>
      <c r="G12" s="85"/>
      <c r="I12" s="86" t="s">
        <v>893</v>
      </c>
      <c r="J12" s="99">
        <v>37</v>
      </c>
      <c r="K12" s="99">
        <v>40</v>
      </c>
      <c r="L12" s="99">
        <v>38</v>
      </c>
      <c r="M12" s="99">
        <v>38</v>
      </c>
      <c r="O12" s="99" t="s">
        <v>853</v>
      </c>
      <c r="P12" s="100">
        <f>J14/J10</f>
        <v>0.15</v>
      </c>
      <c r="Q12" s="100">
        <f t="shared" ref="Q12:S12" si="7">K14/K10</f>
        <v>0.2</v>
      </c>
      <c r="R12" s="100">
        <f t="shared" si="7"/>
        <v>0.05</v>
      </c>
      <c r="S12" s="100">
        <f t="shared" si="7"/>
        <v>0.2</v>
      </c>
      <c r="V12" s="86" t="s">
        <v>893</v>
      </c>
      <c r="W12" s="99">
        <f>ROUND((W13*J12)/J13,0)</f>
        <v>2063</v>
      </c>
      <c r="X12" s="99">
        <f t="shared" ref="X12:Z12" si="8">ROUND((X13*K12)/K13,0)</f>
        <v>1163</v>
      </c>
      <c r="Y12" s="99">
        <f t="shared" si="8"/>
        <v>955</v>
      </c>
      <c r="Z12" s="99">
        <f t="shared" si="8"/>
        <v>874</v>
      </c>
      <c r="AB12" s="99" t="s">
        <v>853</v>
      </c>
      <c r="AC12" s="100">
        <f>W14/W10</f>
        <v>0.14992826398852224</v>
      </c>
      <c r="AD12" s="100">
        <f t="shared" ref="AD12:AF12" si="9">X14/X10</f>
        <v>0.1998624011007912</v>
      </c>
      <c r="AE12" s="100">
        <f t="shared" si="9"/>
        <v>5.0139275766016712E-2</v>
      </c>
      <c r="AF12" s="100">
        <f t="shared" si="9"/>
        <v>0.2</v>
      </c>
    </row>
    <row r="13" spans="1:32" ht="26">
      <c r="A13" s="101" t="s">
        <v>894</v>
      </c>
      <c r="B13" s="101" t="s">
        <v>454</v>
      </c>
      <c r="C13" s="102" t="s">
        <v>895</v>
      </c>
      <c r="D13" s="102" t="s">
        <v>895</v>
      </c>
      <c r="E13" s="102" t="s">
        <v>895</v>
      </c>
      <c r="F13" s="102" t="s">
        <v>895</v>
      </c>
      <c r="G13" s="85"/>
      <c r="I13" s="86" t="s">
        <v>857</v>
      </c>
      <c r="J13" s="103">
        <v>13</v>
      </c>
      <c r="K13" s="99">
        <v>15</v>
      </c>
      <c r="L13" s="99">
        <v>7</v>
      </c>
      <c r="M13" s="99">
        <v>5</v>
      </c>
      <c r="V13" s="86" t="s">
        <v>857</v>
      </c>
      <c r="W13" s="8">
        <v>725</v>
      </c>
      <c r="X13" s="8">
        <v>436</v>
      </c>
      <c r="Y13" s="8">
        <v>176</v>
      </c>
      <c r="Z13" s="8">
        <v>115</v>
      </c>
    </row>
    <row r="14" spans="1:32" ht="26">
      <c r="A14" s="83" t="s">
        <v>896</v>
      </c>
      <c r="B14" s="83" t="s">
        <v>456</v>
      </c>
      <c r="C14" s="84" t="s">
        <v>856</v>
      </c>
      <c r="D14" s="84" t="s">
        <v>856</v>
      </c>
      <c r="E14" s="84" t="s">
        <v>897</v>
      </c>
      <c r="F14" s="84" t="s">
        <v>897</v>
      </c>
      <c r="G14" s="85"/>
      <c r="I14" s="86" t="s">
        <v>863</v>
      </c>
      <c r="J14" s="99">
        <v>15</v>
      </c>
      <c r="K14" s="99">
        <v>20</v>
      </c>
      <c r="L14" s="99">
        <v>5</v>
      </c>
      <c r="M14" s="99">
        <v>20</v>
      </c>
      <c r="V14" s="86" t="s">
        <v>863</v>
      </c>
      <c r="W14" s="99">
        <f>ROUND(P12*W10,0)</f>
        <v>836</v>
      </c>
      <c r="X14" s="99">
        <f t="shared" ref="X14:Z14" si="10">ROUND(Q12*X10,0)</f>
        <v>581</v>
      </c>
      <c r="Y14" s="99">
        <f t="shared" si="10"/>
        <v>126</v>
      </c>
      <c r="Z14" s="99">
        <f t="shared" si="10"/>
        <v>460</v>
      </c>
    </row>
    <row r="15" spans="1:32" ht="39">
      <c r="A15" s="83" t="s">
        <v>898</v>
      </c>
      <c r="B15" s="83" t="s">
        <v>458</v>
      </c>
      <c r="C15" s="84" t="s">
        <v>899</v>
      </c>
      <c r="D15" s="84" t="s">
        <v>899</v>
      </c>
      <c r="E15" s="104" t="s">
        <v>900</v>
      </c>
      <c r="F15" s="104" t="s">
        <v>900</v>
      </c>
      <c r="G15" s="85"/>
    </row>
    <row r="16" spans="1:32" ht="14.5">
      <c r="A16" s="105" t="s">
        <v>901</v>
      </c>
      <c r="B16" s="105"/>
      <c r="C16" s="106" t="s">
        <v>902</v>
      </c>
      <c r="D16" s="106" t="s">
        <v>903</v>
      </c>
      <c r="E16" s="106" t="s">
        <v>904</v>
      </c>
      <c r="F16" s="106" t="s">
        <v>905</v>
      </c>
      <c r="V16">
        <v>2024</v>
      </c>
      <c r="W16" s="5" t="s">
        <v>581</v>
      </c>
      <c r="X16" s="5" t="s">
        <v>881</v>
      </c>
      <c r="Y16" s="5" t="s">
        <v>882</v>
      </c>
      <c r="Z16" s="5" t="s">
        <v>584</v>
      </c>
    </row>
    <row r="17" spans="1:32" ht="16">
      <c r="A17" s="105" t="s">
        <v>906</v>
      </c>
      <c r="B17" s="105"/>
      <c r="C17" s="106" t="s">
        <v>907</v>
      </c>
      <c r="D17" s="106" t="s">
        <v>908</v>
      </c>
      <c r="E17" s="106" t="s">
        <v>909</v>
      </c>
      <c r="F17" s="106" t="s">
        <v>907</v>
      </c>
      <c r="V17" s="108" t="s">
        <v>910</v>
      </c>
      <c r="W17">
        <v>790</v>
      </c>
      <c r="X17">
        <v>483</v>
      </c>
      <c r="Y17">
        <v>147</v>
      </c>
      <c r="Z17">
        <v>146</v>
      </c>
      <c r="AB17" s="82">
        <f>SUM(W13:Z13)</f>
        <v>1452</v>
      </c>
    </row>
    <row r="18" spans="1:32" ht="26">
      <c r="A18" s="105" t="s">
        <v>911</v>
      </c>
      <c r="B18" s="105"/>
      <c r="C18" s="105" t="s">
        <v>912</v>
      </c>
      <c r="D18" s="105" t="s">
        <v>913</v>
      </c>
      <c r="E18" s="105" t="s">
        <v>914</v>
      </c>
      <c r="F18" s="105" t="s">
        <v>915</v>
      </c>
      <c r="V18" s="108"/>
      <c r="W18"/>
      <c r="X18"/>
      <c r="Y18"/>
      <c r="Z18"/>
    </row>
    <row r="19" spans="1:32" ht="14.5">
      <c r="V19" s="82" t="s">
        <v>916</v>
      </c>
      <c r="W19">
        <v>562</v>
      </c>
      <c r="X19">
        <v>335</v>
      </c>
      <c r="Y19">
        <v>120</v>
      </c>
      <c r="Z19">
        <v>70</v>
      </c>
    </row>
    <row r="20" spans="1:32" ht="14.5">
      <c r="A20" s="109" t="s">
        <v>917</v>
      </c>
      <c r="B20" s="109"/>
      <c r="C20" s="109" t="s">
        <v>918</v>
      </c>
      <c r="D20" s="109" t="s">
        <v>918</v>
      </c>
      <c r="E20" s="109" t="s">
        <v>919</v>
      </c>
      <c r="F20" s="109" t="s">
        <v>920</v>
      </c>
      <c r="V20" s="82" t="s">
        <v>921</v>
      </c>
      <c r="W20">
        <v>253</v>
      </c>
      <c r="X20">
        <v>162</v>
      </c>
      <c r="Y20">
        <v>31</v>
      </c>
      <c r="Z20">
        <v>81</v>
      </c>
    </row>
    <row r="21" spans="1:32">
      <c r="A21" s="109" t="s">
        <v>922</v>
      </c>
      <c r="B21" s="109"/>
      <c r="C21" s="109" t="s">
        <v>923</v>
      </c>
      <c r="D21" s="109" t="s">
        <v>923</v>
      </c>
      <c r="E21" s="109" t="s">
        <v>924</v>
      </c>
      <c r="F21" s="109" t="s">
        <v>925</v>
      </c>
    </row>
    <row r="22" spans="1:32">
      <c r="A22" s="109" t="s">
        <v>926</v>
      </c>
      <c r="B22" s="109"/>
      <c r="C22" s="109" t="s">
        <v>927</v>
      </c>
      <c r="D22" s="109" t="s">
        <v>928</v>
      </c>
      <c r="E22" s="109" t="s">
        <v>891</v>
      </c>
      <c r="F22" s="109" t="s">
        <v>892</v>
      </c>
      <c r="V22" s="82" t="s">
        <v>929</v>
      </c>
      <c r="W22" s="82">
        <f>SUM(W23:W24)</f>
        <v>761</v>
      </c>
      <c r="X22" s="82">
        <f t="shared" ref="X22:Z22" si="11">SUM(X23:X24)</f>
        <v>415</v>
      </c>
      <c r="Y22" s="82">
        <f t="shared" si="11"/>
        <v>187</v>
      </c>
      <c r="Z22" s="82">
        <f t="shared" si="11"/>
        <v>112</v>
      </c>
      <c r="AB22" s="82">
        <f>SUM(W22:Z22)</f>
        <v>1475</v>
      </c>
    </row>
    <row r="23" spans="1:32">
      <c r="A23" s="109" t="s">
        <v>930</v>
      </c>
      <c r="B23" s="109"/>
      <c r="C23" s="109" t="s">
        <v>927</v>
      </c>
      <c r="D23" s="109" t="s">
        <v>931</v>
      </c>
      <c r="E23" s="109" t="s">
        <v>925</v>
      </c>
      <c r="F23" s="109" t="s">
        <v>891</v>
      </c>
      <c r="V23" s="82" t="s">
        <v>916</v>
      </c>
      <c r="W23" s="82">
        <f>ROUND(0.8454*W13,0)</f>
        <v>613</v>
      </c>
      <c r="X23" s="82">
        <f>ROUND(0.8521*X13,0)</f>
        <v>372</v>
      </c>
      <c r="Y23" s="82">
        <f>ROUND(0.9219*Y13,0)</f>
        <v>162</v>
      </c>
      <c r="Z23" s="82">
        <f>ROUND(0.8329*Z13,0)</f>
        <v>96</v>
      </c>
      <c r="AB23" s="82">
        <f>SUM(W23:Z23)</f>
        <v>1243</v>
      </c>
    </row>
    <row r="24" spans="1:32">
      <c r="A24" s="110" t="s">
        <v>932</v>
      </c>
      <c r="B24" s="109"/>
      <c r="C24" s="109" t="s">
        <v>933</v>
      </c>
      <c r="D24" s="109" t="s">
        <v>931</v>
      </c>
      <c r="E24" s="109" t="s">
        <v>925</v>
      </c>
      <c r="F24" s="109" t="s">
        <v>891</v>
      </c>
      <c r="V24" s="82" t="s">
        <v>921</v>
      </c>
      <c r="W24" s="82">
        <f>ROUND((0.2047*W13),0)</f>
        <v>148</v>
      </c>
      <c r="X24" s="82">
        <f>ROUND((0.09818*X13),0)</f>
        <v>43</v>
      </c>
      <c r="Y24" s="82">
        <f>ROUND((0.1444*Y13),0)</f>
        <v>25</v>
      </c>
      <c r="Z24" s="82">
        <f>ROUND((0.1419*Z13),0)</f>
        <v>16</v>
      </c>
      <c r="AB24" s="82">
        <f>SUM(W24:Z24)</f>
        <v>232</v>
      </c>
    </row>
    <row r="25" spans="1:32">
      <c r="V25" s="111" t="s">
        <v>934</v>
      </c>
      <c r="W25" s="111">
        <f>W23/W22</f>
        <v>0.80551905387647826</v>
      </c>
      <c r="X25" s="111">
        <f>X23/X22</f>
        <v>0.89638554216867472</v>
      </c>
      <c r="Y25" s="111">
        <f>Y23/Y22</f>
        <v>0.86631016042780751</v>
      </c>
      <c r="Z25" s="111">
        <f>Z23/Z22</f>
        <v>0.8571428571428571</v>
      </c>
      <c r="AB25" s="82">
        <f>AB23/AB22</f>
        <v>0.8427118644067797</v>
      </c>
    </row>
    <row r="26" spans="1:32">
      <c r="V26" s="111" t="s">
        <v>935</v>
      </c>
      <c r="W26" s="111">
        <f>W24/W22</f>
        <v>0.19448094612352168</v>
      </c>
      <c r="X26" s="111">
        <f>X24/X22</f>
        <v>0.10361445783132531</v>
      </c>
      <c r="Y26" s="111">
        <f>Y24/Y22</f>
        <v>0.13368983957219252</v>
      </c>
      <c r="Z26" s="111">
        <f>Z24/Z22</f>
        <v>0.14285714285714285</v>
      </c>
      <c r="AB26" s="82">
        <f>AB24/AB22</f>
        <v>0.15728813559322033</v>
      </c>
    </row>
    <row r="27" spans="1:32" ht="39">
      <c r="A27" s="107" t="s">
        <v>936</v>
      </c>
      <c r="B27" s="107" t="s">
        <v>937</v>
      </c>
      <c r="V27" s="111" t="s">
        <v>938</v>
      </c>
      <c r="W27" s="111">
        <f>W22/AB22</f>
        <v>0.51593220338983048</v>
      </c>
      <c r="X27" s="111">
        <f>X22/AB22</f>
        <v>0.28135593220338984</v>
      </c>
      <c r="Y27" s="111">
        <f>Y22/AB22</f>
        <v>0.12677966101694915</v>
      </c>
      <c r="Z27" s="111">
        <f>Z22/AB22</f>
        <v>7.5932203389830505E-2</v>
      </c>
    </row>
    <row r="28" spans="1:32" ht="39">
      <c r="A28" s="107" t="s">
        <v>939</v>
      </c>
      <c r="B28" s="107" t="s">
        <v>940</v>
      </c>
      <c r="I28" s="99">
        <v>2024</v>
      </c>
      <c r="J28" s="5" t="s">
        <v>581</v>
      </c>
      <c r="K28" s="5" t="s">
        <v>582</v>
      </c>
      <c r="L28" s="5" t="s">
        <v>583</v>
      </c>
      <c r="M28" s="5" t="s">
        <v>584</v>
      </c>
      <c r="O28" s="99">
        <v>2024</v>
      </c>
      <c r="P28" s="5" t="s">
        <v>581</v>
      </c>
      <c r="Q28" s="5" t="s">
        <v>582</v>
      </c>
      <c r="R28" s="5" t="s">
        <v>583</v>
      </c>
      <c r="S28" s="5" t="s">
        <v>584</v>
      </c>
      <c r="V28" s="8">
        <v>2024</v>
      </c>
      <c r="W28" s="5" t="s">
        <v>581</v>
      </c>
      <c r="X28" s="5" t="s">
        <v>881</v>
      </c>
      <c r="Y28" s="5" t="s">
        <v>882</v>
      </c>
      <c r="Z28" s="5" t="s">
        <v>584</v>
      </c>
      <c r="AB28" s="99">
        <v>2024</v>
      </c>
      <c r="AC28" s="5" t="s">
        <v>581</v>
      </c>
      <c r="AD28" s="5" t="s">
        <v>582</v>
      </c>
      <c r="AE28" s="5" t="s">
        <v>583</v>
      </c>
      <c r="AF28" s="5" t="s">
        <v>584</v>
      </c>
    </row>
    <row r="29" spans="1:32" ht="16">
      <c r="I29" s="86" t="s">
        <v>845</v>
      </c>
      <c r="J29" s="99">
        <v>100</v>
      </c>
      <c r="K29" s="99">
        <v>100</v>
      </c>
      <c r="L29" s="99">
        <v>100</v>
      </c>
      <c r="M29" s="99">
        <v>100</v>
      </c>
      <c r="O29" s="99" t="s">
        <v>431</v>
      </c>
      <c r="P29" s="100">
        <f>(J31+J32)/J29</f>
        <v>0.6</v>
      </c>
      <c r="Q29" s="100">
        <f t="shared" ref="Q29:S29" si="12">(K31+K32)/K29</f>
        <v>0.61</v>
      </c>
      <c r="R29" s="100">
        <f t="shared" si="12"/>
        <v>0.52</v>
      </c>
      <c r="S29" s="100">
        <f t="shared" si="12"/>
        <v>0.49</v>
      </c>
      <c r="V29" s="86" t="s">
        <v>845</v>
      </c>
      <c r="W29" s="8">
        <f>ROUND(((W31+W32)*100)/(J31+J32),0)</f>
        <v>4228</v>
      </c>
      <c r="X29" s="8">
        <f t="shared" ref="X29:Z29" si="13">ROUND(((X31+X32)*100)/(K31+K32),0)</f>
        <v>2593</v>
      </c>
      <c r="Y29" s="8">
        <f t="shared" si="13"/>
        <v>1700</v>
      </c>
      <c r="Z29" s="8">
        <f t="shared" si="13"/>
        <v>1600</v>
      </c>
      <c r="AB29" s="99" t="s">
        <v>431</v>
      </c>
      <c r="AC29" s="100">
        <f>(W31+W32)/W29</f>
        <v>0.60004730368968784</v>
      </c>
      <c r="AD29" s="100">
        <f t="shared" ref="AD29:AF29" si="14">(X31+X32)/X29</f>
        <v>0.61010412649440804</v>
      </c>
      <c r="AE29" s="100">
        <f t="shared" si="14"/>
        <v>0.52</v>
      </c>
      <c r="AF29" s="100">
        <f t="shared" si="14"/>
        <v>0.49</v>
      </c>
    </row>
    <row r="30" spans="1:32" ht="16">
      <c r="I30" s="86" t="s">
        <v>887</v>
      </c>
      <c r="J30" s="99">
        <f>J29-SUM(J31:J33)</f>
        <v>27</v>
      </c>
      <c r="K30" s="99">
        <f t="shared" ref="K30" si="15">K29-SUM(K31:K33)</f>
        <v>21</v>
      </c>
      <c r="L30" s="99">
        <f t="shared" ref="L30:M30" si="16">L29-SUM(L31:L33)</f>
        <v>44</v>
      </c>
      <c r="M30" s="99">
        <f t="shared" si="16"/>
        <v>35</v>
      </c>
      <c r="O30" s="99" t="s">
        <v>888</v>
      </c>
      <c r="P30" s="100">
        <f>J32/(J31+J32)</f>
        <v>0.3</v>
      </c>
      <c r="Q30" s="100">
        <f t="shared" ref="Q30:S30" si="17">K32/(K31+K32)</f>
        <v>0.26229508196721313</v>
      </c>
      <c r="R30" s="100">
        <f t="shared" si="17"/>
        <v>0.21153846153846154</v>
      </c>
      <c r="S30" s="100">
        <f t="shared" si="17"/>
        <v>0.14285714285714285</v>
      </c>
      <c r="V30" s="86" t="s">
        <v>887</v>
      </c>
      <c r="W30" s="99">
        <f t="shared" ref="W30" si="18">W29-SUM(W31:W33)</f>
        <v>1141</v>
      </c>
      <c r="X30" s="99">
        <f t="shared" ref="X30:Z30" si="19">X29-SUM(X31:X33)</f>
        <v>544</v>
      </c>
      <c r="Y30" s="99">
        <f t="shared" si="19"/>
        <v>748</v>
      </c>
      <c r="Z30" s="99">
        <f t="shared" si="19"/>
        <v>560</v>
      </c>
      <c r="AB30" s="99" t="s">
        <v>888</v>
      </c>
      <c r="AC30" s="100">
        <f>W32/(W31+W32)</f>
        <v>0.29996058336618053</v>
      </c>
      <c r="AD30" s="100">
        <f t="shared" ref="AD30:AF30" si="20">X32/(X31+X32)</f>
        <v>0.26232616940581543</v>
      </c>
      <c r="AE30" s="100">
        <f t="shared" si="20"/>
        <v>0.21153846153846154</v>
      </c>
      <c r="AF30" s="100">
        <f t="shared" si="20"/>
        <v>0.14285714285714285</v>
      </c>
    </row>
    <row r="31" spans="1:32" ht="16">
      <c r="I31" s="86" t="s">
        <v>893</v>
      </c>
      <c r="J31" s="99">
        <v>42</v>
      </c>
      <c r="K31" s="99">
        <v>45</v>
      </c>
      <c r="L31" s="99">
        <v>41</v>
      </c>
      <c r="M31" s="99">
        <v>42</v>
      </c>
      <c r="O31" s="99" t="s">
        <v>853</v>
      </c>
      <c r="P31" s="100">
        <f>J33/J29</f>
        <v>0.13</v>
      </c>
      <c r="Q31" s="100">
        <f t="shared" ref="Q31:S31" si="21">K33/K29</f>
        <v>0.18</v>
      </c>
      <c r="R31" s="100">
        <f t="shared" si="21"/>
        <v>0.04</v>
      </c>
      <c r="S31" s="100">
        <f t="shared" si="21"/>
        <v>0.16</v>
      </c>
      <c r="V31" s="86" t="s">
        <v>893</v>
      </c>
      <c r="W31" s="99">
        <f>ROUND((W32*J31)/J32,0)</f>
        <v>1776</v>
      </c>
      <c r="X31" s="99">
        <f t="shared" ref="X31:Z31" si="22">ROUND((X32*K31)/K32,0)</f>
        <v>1167</v>
      </c>
      <c r="Y31" s="99">
        <f t="shared" si="22"/>
        <v>697</v>
      </c>
      <c r="Z31" s="99">
        <f t="shared" si="22"/>
        <v>672</v>
      </c>
      <c r="AB31" s="99" t="s">
        <v>853</v>
      </c>
      <c r="AC31" s="100">
        <f>W33/W29</f>
        <v>0.13008514664143803</v>
      </c>
      <c r="AD31" s="100">
        <f t="shared" ref="AD31:AF31" si="23">X33/X29</f>
        <v>0.18010026995757811</v>
      </c>
      <c r="AE31" s="100">
        <f t="shared" si="23"/>
        <v>0.04</v>
      </c>
      <c r="AF31" s="100">
        <f t="shared" si="23"/>
        <v>0.16</v>
      </c>
    </row>
    <row r="32" spans="1:32" ht="16">
      <c r="I32" s="86" t="s">
        <v>857</v>
      </c>
      <c r="J32" s="103">
        <v>18</v>
      </c>
      <c r="K32" s="99">
        <v>16</v>
      </c>
      <c r="L32" s="99">
        <v>11</v>
      </c>
      <c r="M32" s="99">
        <v>7</v>
      </c>
      <c r="V32" s="86" t="s">
        <v>857</v>
      </c>
      <c r="W32" s="8">
        <v>761</v>
      </c>
      <c r="X32" s="8">
        <v>415</v>
      </c>
      <c r="Y32" s="8">
        <v>187</v>
      </c>
      <c r="Z32" s="8">
        <v>112</v>
      </c>
    </row>
    <row r="33" spans="9:26" ht="16">
      <c r="I33" s="86" t="s">
        <v>863</v>
      </c>
      <c r="J33" s="99">
        <v>13</v>
      </c>
      <c r="K33" s="99">
        <v>18</v>
      </c>
      <c r="L33" s="99">
        <v>4</v>
      </c>
      <c r="M33" s="99">
        <v>16</v>
      </c>
      <c r="V33" s="86" t="s">
        <v>863</v>
      </c>
      <c r="W33" s="99">
        <f>ROUND(P31*W29,0)</f>
        <v>550</v>
      </c>
      <c r="X33" s="99">
        <f t="shared" ref="X33:Z33" si="24">ROUND(Q31*X29,0)</f>
        <v>467</v>
      </c>
      <c r="Y33" s="99">
        <f t="shared" si="24"/>
        <v>68</v>
      </c>
      <c r="Z33" s="99">
        <f t="shared" si="24"/>
        <v>256</v>
      </c>
    </row>
  </sheetData>
  <mergeCells count="8">
    <mergeCell ref="J1:K1"/>
    <mergeCell ref="L1:M1"/>
    <mergeCell ref="A1:A2"/>
    <mergeCell ref="B1:B2"/>
    <mergeCell ref="C1:D1"/>
    <mergeCell ref="E1:F1"/>
    <mergeCell ref="G1:G2"/>
    <mergeCell ref="I1: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FF6A-BAE2-4A0C-91D9-BF3DECA2252E}">
  <dimension ref="A1:B66"/>
  <sheetViews>
    <sheetView topLeftCell="A52" zoomScale="80" zoomScaleNormal="80" workbookViewId="0">
      <selection activeCell="A74" sqref="A74"/>
    </sheetView>
  </sheetViews>
  <sheetFormatPr defaultRowHeight="14.5"/>
  <cols>
    <col min="1" max="1" width="19" customWidth="1"/>
    <col min="2" max="2" width="35" customWidth="1"/>
  </cols>
  <sheetData>
    <row r="1" spans="1:2">
      <c r="A1" s="9" t="s">
        <v>941</v>
      </c>
      <c r="B1" s="9" t="s">
        <v>942</v>
      </c>
    </row>
    <row r="2" spans="1:2">
      <c r="A2" s="8" t="s">
        <v>943</v>
      </c>
      <c r="B2" s="8" t="s">
        <v>944</v>
      </c>
    </row>
    <row r="3" spans="1:2">
      <c r="A3" s="8" t="s">
        <v>943</v>
      </c>
      <c r="B3" s="8" t="s">
        <v>221</v>
      </c>
    </row>
    <row r="4" spans="1:2">
      <c r="A4" s="8" t="s">
        <v>943</v>
      </c>
      <c r="B4" s="8" t="s">
        <v>945</v>
      </c>
    </row>
    <row r="5" spans="1:2">
      <c r="A5" s="8" t="s">
        <v>943</v>
      </c>
      <c r="B5" s="8" t="s">
        <v>946</v>
      </c>
    </row>
    <row r="6" spans="1:2">
      <c r="A6" s="8" t="s">
        <v>943</v>
      </c>
      <c r="B6" s="8" t="s">
        <v>947</v>
      </c>
    </row>
    <row r="7" spans="1:2">
      <c r="A7" s="8" t="s">
        <v>943</v>
      </c>
      <c r="B7" s="8" t="s">
        <v>948</v>
      </c>
    </row>
    <row r="8" spans="1:2">
      <c r="A8" s="8" t="s">
        <v>943</v>
      </c>
      <c r="B8" s="8" t="s">
        <v>949</v>
      </c>
    </row>
    <row r="9" spans="1:2">
      <c r="A9" s="8" t="s">
        <v>943</v>
      </c>
      <c r="B9" s="8" t="s">
        <v>950</v>
      </c>
    </row>
    <row r="10" spans="1:2">
      <c r="A10" s="8" t="s">
        <v>943</v>
      </c>
      <c r="B10" s="8" t="s">
        <v>951</v>
      </c>
    </row>
    <row r="11" spans="1:2">
      <c r="A11" s="8" t="s">
        <v>943</v>
      </c>
      <c r="B11" s="8" t="s">
        <v>952</v>
      </c>
    </row>
    <row r="12" spans="1:2">
      <c r="A12" s="8" t="s">
        <v>943</v>
      </c>
      <c r="B12" s="8" t="s">
        <v>953</v>
      </c>
    </row>
    <row r="13" spans="1:2">
      <c r="A13" s="8" t="s">
        <v>943</v>
      </c>
      <c r="B13" s="8" t="s">
        <v>954</v>
      </c>
    </row>
    <row r="14" spans="1:2">
      <c r="A14" s="8" t="s">
        <v>943</v>
      </c>
      <c r="B14" s="8" t="s">
        <v>955</v>
      </c>
    </row>
    <row r="15" spans="1:2">
      <c r="A15" s="8" t="s">
        <v>943</v>
      </c>
      <c r="B15" s="8" t="s">
        <v>956</v>
      </c>
    </row>
    <row r="16" spans="1:2">
      <c r="A16" s="8" t="s">
        <v>943</v>
      </c>
      <c r="B16" s="8" t="s">
        <v>957</v>
      </c>
    </row>
    <row r="17" spans="1:2">
      <c r="A17" s="8" t="s">
        <v>943</v>
      </c>
      <c r="B17" s="8" t="s">
        <v>958</v>
      </c>
    </row>
    <row r="18" spans="1:2">
      <c r="A18" s="8" t="s">
        <v>943</v>
      </c>
      <c r="B18" s="8" t="s">
        <v>959</v>
      </c>
    </row>
    <row r="19" spans="1:2">
      <c r="A19" s="8" t="s">
        <v>943</v>
      </c>
      <c r="B19" s="8" t="s">
        <v>960</v>
      </c>
    </row>
    <row r="20" spans="1:2">
      <c r="A20" s="8" t="s">
        <v>943</v>
      </c>
      <c r="B20" s="8" t="s">
        <v>961</v>
      </c>
    </row>
    <row r="21" spans="1:2">
      <c r="A21" s="8" t="s">
        <v>943</v>
      </c>
      <c r="B21" s="8" t="s">
        <v>962</v>
      </c>
    </row>
    <row r="22" spans="1:2">
      <c r="A22" s="121" t="s">
        <v>222</v>
      </c>
      <c r="B22" s="122"/>
    </row>
    <row r="23" spans="1:2">
      <c r="A23" s="8" t="s">
        <v>222</v>
      </c>
      <c r="B23" s="8" t="s">
        <v>963</v>
      </c>
    </row>
    <row r="24" spans="1:2">
      <c r="A24" s="8" t="s">
        <v>222</v>
      </c>
      <c r="B24" s="8" t="s">
        <v>964</v>
      </c>
    </row>
    <row r="25" spans="1:2">
      <c r="A25" s="8" t="s">
        <v>222</v>
      </c>
      <c r="B25" s="8" t="s">
        <v>965</v>
      </c>
    </row>
    <row r="26" spans="1:2">
      <c r="A26" s="8" t="s">
        <v>222</v>
      </c>
      <c r="B26" s="8" t="s">
        <v>966</v>
      </c>
    </row>
    <row r="27" spans="1:2">
      <c r="A27" s="8" t="s">
        <v>222</v>
      </c>
      <c r="B27" s="8" t="s">
        <v>963</v>
      </c>
    </row>
    <row r="28" spans="1:2">
      <c r="A28" s="123" t="s">
        <v>967</v>
      </c>
      <c r="B28" s="124"/>
    </row>
    <row r="30" spans="1:2">
      <c r="A30" t="s">
        <v>968</v>
      </c>
    </row>
    <row r="31" spans="1:2">
      <c r="A31" t="s">
        <v>968</v>
      </c>
    </row>
    <row r="32" spans="1:2">
      <c r="A32" t="s">
        <v>968</v>
      </c>
    </row>
    <row r="33" spans="1:1">
      <c r="A33" t="s">
        <v>968</v>
      </c>
    </row>
    <row r="34" spans="1:1">
      <c r="A34" t="s">
        <v>968</v>
      </c>
    </row>
    <row r="35" spans="1:1">
      <c r="A35" t="s">
        <v>968</v>
      </c>
    </row>
    <row r="36" spans="1:1">
      <c r="A36" t="s">
        <v>968</v>
      </c>
    </row>
    <row r="37" spans="1:1">
      <c r="A37" t="s">
        <v>968</v>
      </c>
    </row>
    <row r="38" spans="1:1">
      <c r="A38" t="s">
        <v>968</v>
      </c>
    </row>
    <row r="39" spans="1:1">
      <c r="A39" t="s">
        <v>968</v>
      </c>
    </row>
    <row r="40" spans="1:1">
      <c r="A40" t="s">
        <v>968</v>
      </c>
    </row>
    <row r="41" spans="1:1">
      <c r="A41" t="s">
        <v>968</v>
      </c>
    </row>
    <row r="42" spans="1:1">
      <c r="A42" t="s">
        <v>968</v>
      </c>
    </row>
    <row r="43" spans="1:1">
      <c r="A43" t="s">
        <v>968</v>
      </c>
    </row>
    <row r="44" spans="1:1">
      <c r="A44" t="s">
        <v>968</v>
      </c>
    </row>
    <row r="45" spans="1:1">
      <c r="A45" t="s">
        <v>968</v>
      </c>
    </row>
    <row r="46" spans="1:1">
      <c r="A46" t="s">
        <v>968</v>
      </c>
    </row>
    <row r="47" spans="1:1">
      <c r="A47" t="s">
        <v>968</v>
      </c>
    </row>
    <row r="48" spans="1:1">
      <c r="A48" t="s">
        <v>968</v>
      </c>
    </row>
    <row r="49" spans="1:2">
      <c r="A49" t="s">
        <v>968</v>
      </c>
    </row>
    <row r="50" spans="1:2">
      <c r="A50" t="s">
        <v>968</v>
      </c>
    </row>
    <row r="51" spans="1:2">
      <c r="A51" s="123" t="s">
        <v>224</v>
      </c>
      <c r="B51" s="124"/>
    </row>
    <row r="52" spans="1:2">
      <c r="A52" s="8" t="s">
        <v>224</v>
      </c>
      <c r="B52" s="8" t="s">
        <v>969</v>
      </c>
    </row>
    <row r="53" spans="1:2">
      <c r="A53" s="8" t="s">
        <v>224</v>
      </c>
      <c r="B53" s="8" t="s">
        <v>970</v>
      </c>
    </row>
    <row r="54" spans="1:2">
      <c r="A54" s="8" t="s">
        <v>224</v>
      </c>
      <c r="B54" s="8" t="s">
        <v>971</v>
      </c>
    </row>
    <row r="55" spans="1:2">
      <c r="A55" s="8" t="s">
        <v>224</v>
      </c>
      <c r="B55" s="8" t="s">
        <v>972</v>
      </c>
    </row>
    <row r="56" spans="1:2">
      <c r="A56" s="8" t="s">
        <v>224</v>
      </c>
      <c r="B56" s="8" t="s">
        <v>973</v>
      </c>
    </row>
    <row r="57" spans="1:2">
      <c r="A57" s="125" t="s">
        <v>974</v>
      </c>
      <c r="B57" s="125"/>
    </row>
    <row r="59" spans="1:2">
      <c r="A59" t="s">
        <v>975</v>
      </c>
    </row>
    <row r="60" spans="1:2">
      <c r="A60" t="s">
        <v>975</v>
      </c>
    </row>
    <row r="61" spans="1:2">
      <c r="A61" t="s">
        <v>975</v>
      </c>
    </row>
    <row r="62" spans="1:2">
      <c r="A62" t="s">
        <v>975</v>
      </c>
    </row>
    <row r="63" spans="1:2">
      <c r="A63" t="s">
        <v>975</v>
      </c>
    </row>
    <row r="64" spans="1:2">
      <c r="A64" t="s">
        <v>975</v>
      </c>
    </row>
    <row r="65" spans="1:1">
      <c r="A65" t="s">
        <v>975</v>
      </c>
    </row>
    <row r="66" spans="1:1">
      <c r="A66" t="s">
        <v>975</v>
      </c>
    </row>
  </sheetData>
  <mergeCells count="4">
    <mergeCell ref="A22:B22"/>
    <mergeCell ref="A28:B28"/>
    <mergeCell ref="A51:B51"/>
    <mergeCell ref="A57:B5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0F7DDD74CF94AA770BC8DAF3FAA7C" ma:contentTypeVersion="11" ma:contentTypeDescription="Create a new document." ma:contentTypeScope="" ma:versionID="b35154b3525bcfc8f5b0b13fa81cad3d">
  <xsd:schema xmlns:xsd="http://www.w3.org/2001/XMLSchema" xmlns:xs="http://www.w3.org/2001/XMLSchema" xmlns:p="http://schemas.microsoft.com/office/2006/metadata/properties" xmlns:ns2="307fc049-ade8-460d-80d1-d4fef7d4dffd" xmlns:ns3="0878b714-8ded-4529-8bba-cec038fe3447" targetNamespace="http://schemas.microsoft.com/office/2006/metadata/properties" ma:root="true" ma:fieldsID="e38a3cf53a3d3ba2cd84f05d14e8a7d7" ns2:_="" ns3:_="">
    <xsd:import namespace="307fc049-ade8-460d-80d1-d4fef7d4dffd"/>
    <xsd:import namespace="0878b714-8ded-4529-8bba-cec038fe34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7fc049-ade8-460d-80d1-d4fef7d4df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087d73-5bfe-4c6e-a130-3d602495565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78b714-8ded-4529-8bba-cec038fe34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26e72bb-2122-46c8-b373-08b7d7330339}" ma:internalName="TaxCatchAll" ma:showField="CatchAllData" ma:web="0878b714-8ded-4529-8bba-cec038fe34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878b714-8ded-4529-8bba-cec038fe3447" xsi:nil="true"/>
    <lcf76f155ced4ddcb4097134ff3c332f xmlns="307fc049-ade8-460d-80d1-d4fef7d4dff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9D4B4A-FF84-4D6C-9563-265E0E57C982}"/>
</file>

<file path=customXml/itemProps2.xml><?xml version="1.0" encoding="utf-8"?>
<ds:datastoreItem xmlns:ds="http://schemas.openxmlformats.org/officeDocument/2006/customXml" ds:itemID="{1F0DA499-203C-435D-8ED1-434406E4F870}">
  <ds:schemaRefs>
    <ds:schemaRef ds:uri="http://schemas.microsoft.com/office/2006/metadata/properties"/>
    <ds:schemaRef ds:uri="http://schemas.microsoft.com/office/infopath/2007/PartnerControls"/>
    <ds:schemaRef ds:uri="0878b714-8ded-4529-8bba-cec038fe3447"/>
    <ds:schemaRef ds:uri="307fc049-ade8-460d-80d1-d4fef7d4dffd"/>
  </ds:schemaRefs>
</ds:datastoreItem>
</file>

<file path=customXml/itemProps3.xml><?xml version="1.0" encoding="utf-8"?>
<ds:datastoreItem xmlns:ds="http://schemas.openxmlformats.org/officeDocument/2006/customXml" ds:itemID="{9A0E6A9A-897D-4B80-82B9-CC415322658A}">
  <ds:schemaRefs>
    <ds:schemaRef ds:uri="http://schemas.microsoft.com/sharepoint/v3/contenttype/forms"/>
  </ds:schemaRefs>
</ds:datastoreItem>
</file>

<file path=docMetadata/LabelInfo.xml><?xml version="1.0" encoding="utf-8"?>
<clbl:labelList xmlns:clbl="http://schemas.microsoft.com/office/2020/mipLabelMetadata">
  <clbl:label id="{13085c86-4bcb-460a-a6f0-b373421c6323}" enabled="0" method="" siteId="{13085c86-4bcb-460a-a6f0-b373421c63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TO-DO and Progress</vt:lpstr>
      <vt:lpstr>Data Model</vt:lpstr>
      <vt:lpstr>KPI's</vt:lpstr>
      <vt:lpstr>ongoing data changes</vt:lpstr>
      <vt:lpstr>Roles</vt:lpstr>
      <vt:lpstr>Industry Standards 2023</vt:lpstr>
      <vt:lpstr>Industry Standards 2024</vt:lpstr>
      <vt:lpstr>tablemap_for_industry_standards</vt:lpstr>
      <vt:lpstr>Industry Trends in 2024</vt:lpstr>
      <vt:lpstr>Carrier Split</vt:lpstr>
      <vt:lpstr>Tables</vt:lpstr>
      <vt:lpstr>Underwriting_Initial_Thoughts</vt:lpstr>
      <vt:lpstr>Typelist for Auto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Nilesh Poddaturi</dc:creator>
  <cp:keywords/>
  <dc:description/>
  <cp:lastModifiedBy>Nilesh Poddaturi</cp:lastModifiedBy>
  <cp:revision/>
  <dcterms:created xsi:type="dcterms:W3CDTF">2025-06-14T12:16:59Z</dcterms:created>
  <dcterms:modified xsi:type="dcterms:W3CDTF">2025-12-23T09:06:14Z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0x0101000800F7DDD74CF94AA770BC8DAF3FAA7C</vt:lpwstr>
  </property>
  <property fmtid="{D5CDD505-2E9C-101B-9397-08002B2CF9AE}" pid="3" name="MediaServiceImageTags">
    <vt:lpwstr/>
  </property>
</Properties>
</file>